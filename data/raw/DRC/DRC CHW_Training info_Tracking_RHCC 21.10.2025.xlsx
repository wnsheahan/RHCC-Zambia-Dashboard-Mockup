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pi.box.com/wopi/files/2026012077167/WOPIServiceId_TP_BOX_2/WOPIUserId_-/"/>
    </mc:Choice>
  </mc:AlternateContent>
  <xr:revisionPtr revIDLastSave="187" documentId="8_{DE2B1FA7-F638-4003-A1BD-75DD8E98D8C3}" xr6:coauthVersionLast="47" xr6:coauthVersionMax="47" xr10:uidLastSave="{2993BFC8-915B-47E4-88F6-36D2B1BAA0C6}"/>
  <bookViews>
    <workbookView xWindow="-110" yWindow="-110" windowWidth="19420" windowHeight="11500" activeTab="1" xr2:uid="{00000000-000D-0000-FFFF-FFFF00000000}"/>
  </bookViews>
  <sheets>
    <sheet name="Aggregates_ICCM_training_RHCC" sheetId="6" r:id="rId1"/>
    <sheet name="Aggregates_ICCM_training_RH (2)" sheetId="7" r:id="rId2"/>
  </sheets>
  <definedNames>
    <definedName name="_xlnm._FilterDatabase" localSheetId="1" hidden="1">'Aggregates_ICCM_training_RH (2)'!$A$1:$V$16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7" i="7" l="1"/>
  <c r="I17" i="7"/>
  <c r="J17" i="7"/>
  <c r="K17" i="7"/>
  <c r="L17" i="7"/>
  <c r="M17" i="7"/>
  <c r="H17" i="7"/>
  <c r="P17" i="7"/>
  <c r="Q17" i="7"/>
  <c r="O17" i="7"/>
  <c r="T31" i="6" l="1"/>
  <c r="T32" i="6"/>
  <c r="T33" i="6"/>
  <c r="O34" i="6"/>
  <c r="U34" i="6"/>
  <c r="T28" i="6"/>
  <c r="T29" i="6"/>
  <c r="T30" i="6"/>
  <c r="T24" i="6"/>
  <c r="T25" i="6"/>
  <c r="T26" i="6"/>
  <c r="T27" i="6"/>
  <c r="N34" i="6" l="1"/>
  <c r="M34" i="6"/>
  <c r="K34" i="6"/>
  <c r="L34" i="6"/>
  <c r="I34" i="6"/>
  <c r="J34" i="6"/>
  <c r="H34" i="6"/>
  <c r="P34" i="6" l="1"/>
  <c r="Q34" i="6"/>
  <c r="R34" i="6"/>
  <c r="S34" i="6"/>
  <c r="V34" i="6"/>
  <c r="W34" i="6"/>
  <c r="X34" i="6"/>
  <c r="T23" i="6" l="1"/>
  <c r="T22" i="6"/>
  <c r="T21" i="6" l="1"/>
  <c r="T20" i="6"/>
  <c r="T19" i="6"/>
  <c r="T18" i="6"/>
  <c r="T17" i="6"/>
  <c r="T16" i="6"/>
  <c r="T15" i="6"/>
  <c r="T14" i="6"/>
  <c r="T13" i="6"/>
  <c r="T12" i="6"/>
  <c r="T11" i="6"/>
  <c r="T10" i="6"/>
  <c r="T9" i="6"/>
  <c r="T8" i="6"/>
  <c r="T7" i="6"/>
  <c r="T6" i="6"/>
  <c r="T5" i="6"/>
  <c r="T4" i="6"/>
  <c r="T3" i="6"/>
  <c r="T2" i="6"/>
  <c r="T3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Cédric Aganze nkonzi</author>
  </authors>
  <commentList>
    <comment ref="E4" authorId="0" shapeId="0" xr:uid="{E35A74E7-D5CD-4AB1-A48A-FE8ADF527FD4}">
      <text>
        <r>
          <rPr>
            <b/>
            <sz val="9"/>
            <color indexed="81"/>
            <rFont val="Tahoma"/>
            <family val="2"/>
          </rPr>
          <t>Cédric Aganze nkonzi:</t>
        </r>
        <r>
          <rPr>
            <sz val="9"/>
            <color indexed="81"/>
            <rFont val="Tahoma"/>
            <family val="2"/>
          </rPr>
          <t xml:space="preserve">
Dates to be confirmed</t>
        </r>
      </text>
    </comment>
  </commentList>
</comments>
</file>

<file path=xl/sharedStrings.xml><?xml version="1.0" encoding="utf-8"?>
<sst xmlns="http://schemas.openxmlformats.org/spreadsheetml/2006/main" count="371" uniqueCount="75">
  <si>
    <t>Country</t>
  </si>
  <si>
    <t>Training Location</t>
  </si>
  <si>
    <t>Intended Training Start Date</t>
  </si>
  <si>
    <t>Intended Training End Date</t>
  </si>
  <si>
    <t>Actual # of CHWs Trained</t>
  </si>
  <si>
    <t>Graduation Date</t>
  </si>
  <si>
    <t>Certification Provided (Yes/No)</t>
  </si>
  <si>
    <t>District/State/Province</t>
  </si>
  <si>
    <t xml:space="preserve">Work tools ( bicycles, etc) handover (Yes/No) </t>
  </si>
  <si>
    <t>Comments</t>
  </si>
  <si>
    <t>Zambia</t>
  </si>
  <si>
    <t>Kasama/Northern</t>
  </si>
  <si>
    <t>Luwingu</t>
  </si>
  <si>
    <t>Luwingu/Northern</t>
  </si>
  <si>
    <t>Mansa</t>
  </si>
  <si>
    <t>Chisamba/Central</t>
  </si>
  <si>
    <t>Kabwe</t>
  </si>
  <si>
    <t>Ngabwe/Central</t>
  </si>
  <si>
    <t>Yes</t>
  </si>
  <si>
    <t>Actual # of Data CHWs Trained</t>
  </si>
  <si>
    <t>Actual # of Staff Trained</t>
  </si>
  <si>
    <t>Actual # of Health facilities Trained</t>
  </si>
  <si>
    <t>Actual # of Phones Issued</t>
  </si>
  <si>
    <t>Bicycles issued days after graduation</t>
  </si>
  <si>
    <t>Actual # of Trainers</t>
  </si>
  <si>
    <t>No</t>
  </si>
  <si>
    <t xml:space="preserve">Only Bicycles pending issuance. The rest of the enablers were given during graduation </t>
  </si>
  <si>
    <t>Chilubi/Northern</t>
  </si>
  <si>
    <t>Samfya</t>
  </si>
  <si>
    <t>District</t>
  </si>
  <si>
    <t>Chisamba</t>
  </si>
  <si>
    <t>Kasama</t>
  </si>
  <si>
    <t>Ngabwe</t>
  </si>
  <si>
    <t>Chilubi</t>
  </si>
  <si>
    <t>Central</t>
  </si>
  <si>
    <t>Northern</t>
  </si>
  <si>
    <t>Province</t>
  </si>
  <si>
    <t>Actual # of Male CHWs Trained</t>
  </si>
  <si>
    <t>Actual # of Female CHWs Trained</t>
  </si>
  <si>
    <t xml:space="preserve">Target # of CHWs </t>
  </si>
  <si>
    <t>Pre_test theory_Av Performance</t>
  </si>
  <si>
    <t>Post_test theory_Av Performance</t>
  </si>
  <si>
    <t>Pre_test Pract_ Av Performance</t>
  </si>
  <si>
    <t>Post_test Pract_Av Performance</t>
  </si>
  <si>
    <t xml:space="preserve"> </t>
  </si>
  <si>
    <t>Health Zone</t>
  </si>
  <si>
    <t>Actual  # of targeted Health areas trained</t>
  </si>
  <si>
    <t>Actual # of supervisors Trained (nurse in charge)</t>
  </si>
  <si>
    <t>Actual # of Health zones staff Trained as trainers</t>
  </si>
  <si>
    <t>Pre_test_Av Performance</t>
  </si>
  <si>
    <t>Post_test_Av Performance</t>
  </si>
  <si>
    <t>Actual # of provincial Trainers</t>
  </si>
  <si>
    <t>DRC</t>
  </si>
  <si>
    <t xml:space="preserve">Kasai </t>
  </si>
  <si>
    <t xml:space="preserve">Provincial Health Division </t>
  </si>
  <si>
    <t>Tshikapa</t>
  </si>
  <si>
    <t xml:space="preserve">No certification is planned to be given, even if this was expressed by the participants. </t>
  </si>
  <si>
    <t>KALONDA OUEST</t>
  </si>
  <si>
    <t xml:space="preserve">Tshikapa </t>
  </si>
  <si>
    <t>KAMONIA</t>
  </si>
  <si>
    <t>KAMWESHA</t>
  </si>
  <si>
    <t>KANZALA</t>
  </si>
  <si>
    <t>TSHIKAPA</t>
  </si>
  <si>
    <t>BANGA LUBAKA</t>
  </si>
  <si>
    <t>KITANGUA</t>
  </si>
  <si>
    <t>MIKOPE</t>
  </si>
  <si>
    <t>NYANGA</t>
  </si>
  <si>
    <t>NJOKOPUNDA</t>
  </si>
  <si>
    <t>LUEBO</t>
  </si>
  <si>
    <t>MWEKA</t>
  </si>
  <si>
    <t>TBD</t>
  </si>
  <si>
    <t>BULAPE</t>
  </si>
  <si>
    <t>MUSHENGE</t>
  </si>
  <si>
    <t>Total</t>
  </si>
  <si>
    <t>Target # of Health Areas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</si>
</sst>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-* #,##0_-;\-* #,##0_-;_-* &quot;-&quot;??_-;_-@_-"/>
    <numFmt numFmtId="166" formatCode="[$-409]d\-mmm\-yy;@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mbria"/>
      <family val="1"/>
      <scheme val="major"/>
    </font>
    <font>
      <sz val="10"/>
      <color rgb="FFFF0000"/>
      <name val="Cambria"/>
      <family val="1"/>
      <scheme val="major"/>
    </font>
    <font>
      <sz val="10"/>
      <name val="Cambria"/>
      <family val="1"/>
      <scheme val="major"/>
    </font>
    <font>
      <b/>
      <sz val="11"/>
      <color rgb="FFFF00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0"/>
      <color rgb="FF00B050"/>
      <name val="Cambria"/>
      <family val="1"/>
      <scheme val="major"/>
    </font>
    <font>
      <sz val="10"/>
      <color theme="5"/>
      <name val="Cambria"/>
      <family val="1"/>
      <scheme val="major"/>
    </font>
    <font>
      <b/>
      <sz val="10"/>
      <color theme="9"/>
      <name val="Cambria"/>
      <family val="1"/>
      <scheme val="major"/>
    </font>
    <font>
      <sz val="10"/>
      <color theme="4"/>
      <name val="Cambria"/>
      <family val="1"/>
      <scheme val="maj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0000"/>
      <name val="Cambria"/>
      <family val="1"/>
      <scheme val="major"/>
    </font>
    <font>
      <b/>
      <sz val="11"/>
      <color theme="5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0"/>
      <color theme="6"/>
      <name val="Cambria"/>
      <family val="1"/>
      <scheme val="major"/>
    </font>
    <font>
      <sz val="11"/>
      <color rgb="FFFF0000"/>
      <name val="Calibri"/>
      <family val="2"/>
      <scheme val="minor"/>
    </font>
    <font>
      <b/>
      <sz val="10"/>
      <color theme="3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</borders>
  <cellStyleXfs count="3">
    <xf numFmtId="0" fontId="0" fillId="0" borderId="0"/>
    <xf numFmtId="43" fontId="13" fillId="0" borderId="0" applyFont="0" applyFill="0" applyBorder="0" applyAlignment="0" applyProtection="0"/>
    <xf numFmtId="9" fontId="13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applyAlignment="1">
      <alignment wrapText="1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2" fillId="0" borderId="1" xfId="0" applyFont="1" applyBorder="1"/>
    <xf numFmtId="0" fontId="2" fillId="0" borderId="0" xfId="0" applyFont="1"/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6" xfId="0" applyFont="1" applyBorder="1"/>
    <xf numFmtId="14" fontId="2" fillId="0" borderId="6" xfId="0" applyNumberFormat="1" applyFont="1" applyBorder="1" applyAlignment="1">
      <alignment horizontal="center"/>
    </xf>
    <xf numFmtId="1" fontId="2" fillId="0" borderId="6" xfId="0" applyNumberFormat="1" applyFont="1" applyBorder="1" applyAlignment="1">
      <alignment horizontal="center"/>
    </xf>
    <xf numFmtId="0" fontId="6" fillId="3" borderId="3" xfId="0" applyFont="1" applyFill="1" applyBorder="1" applyAlignment="1">
      <alignment horizontal="center" vertical="top" wrapText="1"/>
    </xf>
    <xf numFmtId="0" fontId="6" fillId="3" borderId="7" xfId="0" applyFont="1" applyFill="1" applyBorder="1" applyAlignment="1">
      <alignment horizontal="center" vertical="top" wrapText="1"/>
    </xf>
    <xf numFmtId="0" fontId="6" fillId="3" borderId="4" xfId="0" applyFont="1" applyFill="1" applyBorder="1" applyAlignment="1">
      <alignment horizontal="center" vertical="top" wrapText="1"/>
    </xf>
    <xf numFmtId="0" fontId="6" fillId="3" borderId="8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top" wrapText="1"/>
    </xf>
    <xf numFmtId="0" fontId="6" fillId="3" borderId="5" xfId="0" applyFont="1" applyFill="1" applyBorder="1" applyAlignment="1">
      <alignment horizontal="center" vertical="top" wrapText="1"/>
    </xf>
    <xf numFmtId="0" fontId="7" fillId="0" borderId="6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0" applyNumberFormat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4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5" fillId="0" borderId="0" xfId="0" applyFont="1"/>
    <xf numFmtId="0" fontId="12" fillId="0" borderId="0" xfId="0" applyFont="1"/>
    <xf numFmtId="14" fontId="2" fillId="0" borderId="1" xfId="0" applyNumberFormat="1" applyFont="1" applyBorder="1" applyAlignment="1">
      <alignment horizontal="left"/>
    </xf>
    <xf numFmtId="1" fontId="0" fillId="0" borderId="0" xfId="0" applyNumberFormat="1"/>
    <xf numFmtId="14" fontId="2" fillId="0" borderId="2" xfId="0" applyNumberFormat="1" applyFont="1" applyBorder="1" applyAlignment="1">
      <alignment horizontal="left"/>
    </xf>
    <xf numFmtId="14" fontId="4" fillId="0" borderId="1" xfId="0" applyNumberFormat="1" applyFont="1" applyBorder="1" applyAlignment="1">
      <alignment horizontal="left"/>
    </xf>
    <xf numFmtId="14" fontId="2" fillId="0" borderId="6" xfId="0" applyNumberFormat="1" applyFont="1" applyBorder="1" applyAlignment="1">
      <alignment horizontal="left"/>
    </xf>
    <xf numFmtId="14" fontId="2" fillId="5" borderId="1" xfId="0" applyNumberFormat="1" applyFont="1" applyFill="1" applyBorder="1" applyAlignment="1">
      <alignment horizontal="left" wrapText="1"/>
    </xf>
    <xf numFmtId="1" fontId="2" fillId="0" borderId="1" xfId="0" applyNumberFormat="1" applyFont="1" applyBorder="1" applyAlignment="1">
      <alignment horizontal="center" wrapText="1"/>
    </xf>
    <xf numFmtId="165" fontId="14" fillId="4" borderId="1" xfId="1" applyNumberFormat="1" applyFont="1" applyFill="1" applyBorder="1" applyAlignment="1"/>
    <xf numFmtId="165" fontId="14" fillId="4" borderId="0" xfId="1" applyNumberFormat="1" applyFont="1" applyFill="1" applyAlignment="1"/>
    <xf numFmtId="43" fontId="0" fillId="0" borderId="0" xfId="0" applyNumberFormat="1"/>
    <xf numFmtId="165" fontId="0" fillId="0" borderId="0" xfId="0" applyNumberFormat="1"/>
    <xf numFmtId="43" fontId="15" fillId="0" borderId="0" xfId="0" applyNumberFormat="1" applyFont="1"/>
    <xf numFmtId="0" fontId="16" fillId="0" borderId="0" xfId="0" applyFont="1"/>
    <xf numFmtId="0" fontId="11" fillId="0" borderId="0" xfId="0" applyFont="1"/>
    <xf numFmtId="43" fontId="16" fillId="0" borderId="0" xfId="1" applyFont="1"/>
    <xf numFmtId="43" fontId="17" fillId="0" borderId="0" xfId="0" applyNumberFormat="1" applyFont="1"/>
    <xf numFmtId="165" fontId="14" fillId="4" borderId="1" xfId="1" applyNumberFormat="1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  <xf numFmtId="0" fontId="18" fillId="0" borderId="6" xfId="0" applyFont="1" applyBorder="1" applyAlignment="1">
      <alignment horizontal="center"/>
    </xf>
    <xf numFmtId="0" fontId="21" fillId="0" borderId="0" xfId="0" applyFont="1" applyAlignment="1">
      <alignment wrapText="1"/>
    </xf>
    <xf numFmtId="0" fontId="6" fillId="3" borderId="6" xfId="0" applyFont="1" applyFill="1" applyBorder="1" applyAlignment="1">
      <alignment horizontal="center" vertical="top" wrapText="1"/>
    </xf>
    <xf numFmtId="0" fontId="20" fillId="2" borderId="8" xfId="0" applyFont="1" applyFill="1" applyBorder="1" applyAlignment="1">
      <alignment horizontal="center" vertical="top" wrapText="1"/>
    </xf>
    <xf numFmtId="0" fontId="0" fillId="0" borderId="9" xfId="0" applyBorder="1" applyAlignment="1">
      <alignment horizontal="center" vertical="center"/>
    </xf>
    <xf numFmtId="9" fontId="0" fillId="0" borderId="9" xfId="0" applyNumberFormat="1" applyBorder="1" applyAlignment="1">
      <alignment horizontal="center" vertical="center"/>
    </xf>
    <xf numFmtId="9" fontId="0" fillId="0" borderId="9" xfId="2" applyFont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9" fontId="0" fillId="0" borderId="9" xfId="2" applyNumberFormat="1" applyFont="1" applyBorder="1" applyAlignment="1">
      <alignment horizontal="center" vertical="center"/>
    </xf>
    <xf numFmtId="0" fontId="0" fillId="0" borderId="9" xfId="0" applyBorder="1" applyAlignment="1">
      <alignment vertical="center"/>
    </xf>
    <xf numFmtId="166" fontId="0" fillId="0" borderId="9" xfId="0" applyNumberFormat="1" applyBorder="1" applyAlignment="1" applyProtection="1">
      <alignment vertical="center"/>
      <protection locked="0"/>
    </xf>
    <xf numFmtId="0" fontId="0" fillId="0" borderId="0" xfId="0" applyAlignment="1">
      <alignment vertical="center"/>
    </xf>
    <xf numFmtId="0" fontId="1" fillId="0" borderId="10" xfId="0" applyFont="1" applyBorder="1" applyAlignment="1">
      <alignment vertical="center"/>
    </xf>
    <xf numFmtId="0" fontId="0" fillId="0" borderId="12" xfId="0" applyBorder="1" applyAlignment="1">
      <alignment vertical="center"/>
    </xf>
    <xf numFmtId="0" fontId="0" fillId="6" borderId="0" xfId="0" applyFill="1" applyBorder="1" applyAlignment="1">
      <alignment vertical="center"/>
    </xf>
    <xf numFmtId="166" fontId="0" fillId="0" borderId="12" xfId="0" applyNumberFormat="1" applyBorder="1" applyAlignment="1" applyProtection="1">
      <alignment vertical="center"/>
      <protection locked="0"/>
    </xf>
    <xf numFmtId="166" fontId="19" fillId="0" borderId="9" xfId="0" applyNumberFormat="1" applyFont="1" applyBorder="1" applyAlignment="1" applyProtection="1">
      <alignment vertical="center"/>
      <protection locked="0"/>
    </xf>
    <xf numFmtId="0" fontId="19" fillId="0" borderId="9" xfId="0" applyFont="1" applyBorder="1" applyAlignment="1">
      <alignment vertical="center"/>
    </xf>
    <xf numFmtId="0" fontId="24" fillId="0" borderId="11" xfId="0" applyFont="1" applyBorder="1" applyAlignment="1">
      <alignment horizontal="center" vertical="center"/>
    </xf>
    <xf numFmtId="9" fontId="24" fillId="0" borderId="9" xfId="0" applyNumberFormat="1" applyFont="1" applyBorder="1" applyAlignment="1">
      <alignment horizontal="center" vertical="center"/>
    </xf>
  </cellXfs>
  <cellStyles count="3">
    <cellStyle name="Milliers" xfId="1" builtinId="3"/>
    <cellStyle name="Normal" xfId="0" builtinId="0"/>
    <cellStyle name="Pourcentage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97166-4221-4244-9AA7-6404A26F635B}">
  <sheetPr>
    <tabColor rgb="FF0070C0"/>
  </sheetPr>
  <dimension ref="A1:X45"/>
  <sheetViews>
    <sheetView workbookViewId="0">
      <pane ySplit="1" topLeftCell="A2" activePane="bottomLeft" state="frozen"/>
      <selection activeCell="F1" sqref="F1"/>
      <selection pane="bottomLeft" activeCell="D17" sqref="D17"/>
    </sheetView>
  </sheetViews>
  <sheetFormatPr baseColWidth="10" defaultColWidth="8.81640625" defaultRowHeight="14.5" x14ac:dyDescent="0.35"/>
  <cols>
    <col min="1" max="3" width="10.453125" customWidth="1"/>
    <col min="4" max="4" width="15.54296875" customWidth="1"/>
    <col min="5" max="5" width="10" customWidth="1"/>
    <col min="6" max="6" width="13.7265625" customWidth="1"/>
    <col min="7" max="8" width="14.81640625" customWidth="1"/>
    <col min="9" max="9" width="10.1796875" customWidth="1"/>
    <col min="10" max="10" width="15.7265625" customWidth="1"/>
    <col min="11" max="11" width="10.26953125" customWidth="1"/>
    <col min="12" max="12" width="13.81640625" customWidth="1"/>
    <col min="13" max="13" width="10.81640625" customWidth="1"/>
    <col min="14" max="14" width="10.54296875" customWidth="1"/>
    <col min="15" max="15" width="11.54296875" customWidth="1"/>
    <col min="16" max="16" width="12.7265625" customWidth="1"/>
    <col min="17" max="17" width="12.1796875" customWidth="1"/>
    <col min="18" max="18" width="12.54296875" customWidth="1"/>
    <col min="19" max="19" width="12.81640625" customWidth="1"/>
    <col min="20" max="20" width="14.81640625" bestFit="1" customWidth="1"/>
    <col min="21" max="21" width="11.54296875" customWidth="1"/>
    <col min="22" max="22" width="21.81640625" customWidth="1"/>
    <col min="23" max="23" width="11.54296875" customWidth="1"/>
    <col min="24" max="24" width="68" customWidth="1"/>
  </cols>
  <sheetData>
    <row r="1" spans="1:24" s="1" customFormat="1" ht="69.75" customHeight="1" thickBot="1" x14ac:dyDescent="0.4">
      <c r="A1" s="16" t="s">
        <v>0</v>
      </c>
      <c r="B1" s="17" t="s">
        <v>36</v>
      </c>
      <c r="C1" s="17" t="s">
        <v>29</v>
      </c>
      <c r="D1" s="18" t="s">
        <v>7</v>
      </c>
      <c r="E1" s="18" t="s">
        <v>1</v>
      </c>
      <c r="F1" s="18" t="s">
        <v>2</v>
      </c>
      <c r="G1" s="18" t="s">
        <v>3</v>
      </c>
      <c r="H1" s="18" t="s">
        <v>21</v>
      </c>
      <c r="I1" s="18" t="s">
        <v>39</v>
      </c>
      <c r="J1" s="18" t="s">
        <v>4</v>
      </c>
      <c r="K1" s="19" t="s">
        <v>37</v>
      </c>
      <c r="L1" s="19" t="s">
        <v>38</v>
      </c>
      <c r="M1" s="20" t="s">
        <v>19</v>
      </c>
      <c r="N1" s="20" t="s">
        <v>20</v>
      </c>
      <c r="O1" s="20" t="s">
        <v>22</v>
      </c>
      <c r="P1" s="20" t="s">
        <v>40</v>
      </c>
      <c r="Q1" s="20" t="s">
        <v>41</v>
      </c>
      <c r="R1" s="20" t="s">
        <v>42</v>
      </c>
      <c r="S1" s="20" t="s">
        <v>43</v>
      </c>
      <c r="T1" s="18" t="s">
        <v>5</v>
      </c>
      <c r="U1" s="20" t="s">
        <v>24</v>
      </c>
      <c r="V1" s="18" t="s">
        <v>8</v>
      </c>
      <c r="W1" s="18" t="s">
        <v>6</v>
      </c>
      <c r="X1" s="21" t="s">
        <v>9</v>
      </c>
    </row>
    <row r="2" spans="1:24" s="6" customFormat="1" ht="12.5" x14ac:dyDescent="0.25">
      <c r="A2" s="2" t="s">
        <v>10</v>
      </c>
      <c r="B2" s="2" t="s">
        <v>34</v>
      </c>
      <c r="C2" s="2" t="s">
        <v>30</v>
      </c>
      <c r="D2" s="2" t="s">
        <v>15</v>
      </c>
      <c r="E2" s="2" t="s">
        <v>16</v>
      </c>
      <c r="F2" s="38">
        <v>45748</v>
      </c>
      <c r="G2" s="38">
        <v>45753</v>
      </c>
      <c r="H2" s="3">
        <v>2</v>
      </c>
      <c r="I2" s="3">
        <v>32</v>
      </c>
      <c r="J2" s="3">
        <v>32</v>
      </c>
      <c r="K2" s="7">
        <v>23</v>
      </c>
      <c r="L2" s="7">
        <v>9</v>
      </c>
      <c r="M2" s="3">
        <v>6</v>
      </c>
      <c r="N2" s="3">
        <v>3</v>
      </c>
      <c r="O2" s="3">
        <v>4</v>
      </c>
      <c r="P2" s="3">
        <v>59.6</v>
      </c>
      <c r="Q2" s="3">
        <v>88.1</v>
      </c>
      <c r="R2" s="3">
        <v>41</v>
      </c>
      <c r="S2" s="3">
        <v>93</v>
      </c>
      <c r="T2" s="4">
        <f>G2</f>
        <v>45753</v>
      </c>
      <c r="U2" s="3">
        <v>4</v>
      </c>
      <c r="V2" s="3" t="s">
        <v>18</v>
      </c>
      <c r="W2" s="3" t="s">
        <v>18</v>
      </c>
      <c r="X2" s="5" t="s">
        <v>23</v>
      </c>
    </row>
    <row r="3" spans="1:24" s="6" customFormat="1" ht="12.5" x14ac:dyDescent="0.25">
      <c r="A3" s="5" t="s">
        <v>10</v>
      </c>
      <c r="B3" s="5" t="s">
        <v>34</v>
      </c>
      <c r="C3" s="5" t="s">
        <v>30</v>
      </c>
      <c r="D3" s="5" t="s">
        <v>15</v>
      </c>
      <c r="E3" s="5" t="s">
        <v>16</v>
      </c>
      <c r="F3" s="36">
        <v>45749</v>
      </c>
      <c r="G3" s="36">
        <v>45754</v>
      </c>
      <c r="H3" s="7">
        <v>2</v>
      </c>
      <c r="I3" s="7">
        <v>30</v>
      </c>
      <c r="J3" s="7">
        <v>28</v>
      </c>
      <c r="K3" s="7">
        <v>17</v>
      </c>
      <c r="L3" s="7">
        <v>11</v>
      </c>
      <c r="M3" s="7">
        <v>5</v>
      </c>
      <c r="N3" s="7">
        <v>2</v>
      </c>
      <c r="O3" s="7">
        <v>4</v>
      </c>
      <c r="P3" s="7">
        <v>54</v>
      </c>
      <c r="Q3" s="7">
        <v>84</v>
      </c>
      <c r="R3" s="7">
        <v>38</v>
      </c>
      <c r="S3" s="7">
        <v>89</v>
      </c>
      <c r="T3" s="8">
        <f>G3</f>
        <v>45754</v>
      </c>
      <c r="U3" s="7">
        <v>4</v>
      </c>
      <c r="V3" s="7" t="s">
        <v>18</v>
      </c>
      <c r="W3" s="7" t="s">
        <v>18</v>
      </c>
      <c r="X3" s="5" t="s">
        <v>23</v>
      </c>
    </row>
    <row r="4" spans="1:24" s="6" customFormat="1" ht="12.5" x14ac:dyDescent="0.25">
      <c r="A4" s="5" t="s">
        <v>10</v>
      </c>
      <c r="B4" s="5" t="s">
        <v>34</v>
      </c>
      <c r="C4" s="5" t="s">
        <v>30</v>
      </c>
      <c r="D4" s="5" t="s">
        <v>15</v>
      </c>
      <c r="E4" s="5" t="s">
        <v>16</v>
      </c>
      <c r="F4" s="39">
        <v>45756</v>
      </c>
      <c r="G4" s="39">
        <v>45761</v>
      </c>
      <c r="H4" s="9">
        <v>2</v>
      </c>
      <c r="I4" s="9">
        <v>36</v>
      </c>
      <c r="J4" s="29">
        <v>36</v>
      </c>
      <c r="K4" s="31">
        <v>23</v>
      </c>
      <c r="L4" s="31">
        <v>13</v>
      </c>
      <c r="M4" s="7">
        <v>6</v>
      </c>
      <c r="N4" s="7">
        <v>2</v>
      </c>
      <c r="O4" s="7">
        <v>4</v>
      </c>
      <c r="P4" s="7">
        <v>56</v>
      </c>
      <c r="Q4" s="7">
        <v>86</v>
      </c>
      <c r="R4" s="7">
        <v>43</v>
      </c>
      <c r="S4" s="7">
        <v>89</v>
      </c>
      <c r="T4" s="8">
        <f>G4</f>
        <v>45761</v>
      </c>
      <c r="U4" s="7">
        <v>4</v>
      </c>
      <c r="V4" s="7" t="s">
        <v>18</v>
      </c>
      <c r="W4" s="7" t="s">
        <v>18</v>
      </c>
      <c r="X4" s="5" t="s">
        <v>23</v>
      </c>
    </row>
    <row r="5" spans="1:24" s="6" customFormat="1" ht="12.5" x14ac:dyDescent="0.25">
      <c r="A5" s="5" t="s">
        <v>10</v>
      </c>
      <c r="B5" s="5" t="s">
        <v>34</v>
      </c>
      <c r="C5" s="5" t="s">
        <v>30</v>
      </c>
      <c r="D5" s="5" t="s">
        <v>15</v>
      </c>
      <c r="E5" s="5" t="s">
        <v>16</v>
      </c>
      <c r="F5" s="39">
        <v>45757</v>
      </c>
      <c r="G5" s="39">
        <v>45762</v>
      </c>
      <c r="H5" s="9">
        <v>2</v>
      </c>
      <c r="I5" s="9">
        <v>20</v>
      </c>
      <c r="J5" s="30">
        <v>21</v>
      </c>
      <c r="K5" s="9">
        <v>13</v>
      </c>
      <c r="L5" s="9">
        <v>8</v>
      </c>
      <c r="M5" s="7">
        <v>3</v>
      </c>
      <c r="N5" s="7">
        <v>2</v>
      </c>
      <c r="O5" s="7">
        <v>4</v>
      </c>
      <c r="P5" s="7">
        <v>61</v>
      </c>
      <c r="Q5" s="7">
        <v>90</v>
      </c>
      <c r="R5" s="7">
        <v>47</v>
      </c>
      <c r="S5" s="7">
        <v>91</v>
      </c>
      <c r="T5" s="8">
        <f>G5</f>
        <v>45762</v>
      </c>
      <c r="U5" s="7">
        <v>4</v>
      </c>
      <c r="V5" s="7" t="s">
        <v>18</v>
      </c>
      <c r="W5" s="7" t="s">
        <v>18</v>
      </c>
      <c r="X5" s="5" t="s">
        <v>23</v>
      </c>
    </row>
    <row r="6" spans="1:24" s="6" customFormat="1" ht="12.5" x14ac:dyDescent="0.25">
      <c r="A6" s="5" t="s">
        <v>10</v>
      </c>
      <c r="B6" s="5" t="s">
        <v>35</v>
      </c>
      <c r="C6" s="5" t="s">
        <v>31</v>
      </c>
      <c r="D6" s="5" t="s">
        <v>11</v>
      </c>
      <c r="E6" s="5" t="s">
        <v>12</v>
      </c>
      <c r="F6" s="36">
        <v>45761</v>
      </c>
      <c r="G6" s="36">
        <v>45766</v>
      </c>
      <c r="H6" s="7">
        <v>4</v>
      </c>
      <c r="I6" s="7">
        <v>35</v>
      </c>
      <c r="J6" s="7">
        <v>35</v>
      </c>
      <c r="K6" s="7">
        <v>20</v>
      </c>
      <c r="L6" s="7">
        <v>15</v>
      </c>
      <c r="M6" s="7">
        <v>7</v>
      </c>
      <c r="N6" s="7">
        <v>4</v>
      </c>
      <c r="O6" s="7">
        <v>8</v>
      </c>
      <c r="P6" s="7">
        <v>66</v>
      </c>
      <c r="Q6" s="7">
        <v>90</v>
      </c>
      <c r="R6" s="7">
        <v>51</v>
      </c>
      <c r="S6" s="7">
        <v>89</v>
      </c>
      <c r="T6" s="8">
        <f>G6</f>
        <v>45766</v>
      </c>
      <c r="U6" s="12">
        <v>4</v>
      </c>
      <c r="V6" s="7" t="s">
        <v>18</v>
      </c>
      <c r="W6" s="7" t="s">
        <v>18</v>
      </c>
      <c r="X6" s="5" t="s">
        <v>23</v>
      </c>
    </row>
    <row r="7" spans="1:24" s="6" customFormat="1" ht="12.5" x14ac:dyDescent="0.25">
      <c r="A7" s="5" t="s">
        <v>10</v>
      </c>
      <c r="B7" s="5" t="s">
        <v>35</v>
      </c>
      <c r="C7" s="5" t="s">
        <v>31</v>
      </c>
      <c r="D7" s="5" t="s">
        <v>11</v>
      </c>
      <c r="E7" s="5" t="s">
        <v>12</v>
      </c>
      <c r="F7" s="36">
        <v>45762</v>
      </c>
      <c r="G7" s="36">
        <v>45767</v>
      </c>
      <c r="H7" s="7">
        <v>3</v>
      </c>
      <c r="I7" s="7">
        <v>35</v>
      </c>
      <c r="J7" s="7">
        <v>35</v>
      </c>
      <c r="K7" s="7">
        <v>21</v>
      </c>
      <c r="L7" s="7">
        <v>14</v>
      </c>
      <c r="M7" s="7">
        <v>7</v>
      </c>
      <c r="N7" s="7">
        <v>3</v>
      </c>
      <c r="O7" s="7">
        <v>6</v>
      </c>
      <c r="P7" s="7">
        <v>59</v>
      </c>
      <c r="Q7" s="7">
        <v>88</v>
      </c>
      <c r="R7" s="7">
        <v>40</v>
      </c>
      <c r="S7" s="7">
        <v>89</v>
      </c>
      <c r="T7" s="8">
        <f t="shared" ref="T7:T33" si="0">G7</f>
        <v>45767</v>
      </c>
      <c r="U7" s="12">
        <v>4</v>
      </c>
      <c r="V7" s="7" t="s">
        <v>18</v>
      </c>
      <c r="W7" s="7" t="s">
        <v>18</v>
      </c>
      <c r="X7" s="5"/>
    </row>
    <row r="8" spans="1:24" s="6" customFormat="1" ht="12.5" x14ac:dyDescent="0.25">
      <c r="A8" s="5" t="s">
        <v>10</v>
      </c>
      <c r="B8" s="5" t="s">
        <v>35</v>
      </c>
      <c r="C8" s="5" t="s">
        <v>31</v>
      </c>
      <c r="D8" s="5" t="s">
        <v>11</v>
      </c>
      <c r="E8" s="5" t="s">
        <v>12</v>
      </c>
      <c r="F8" s="36">
        <v>45768</v>
      </c>
      <c r="G8" s="36">
        <v>45773</v>
      </c>
      <c r="H8" s="7">
        <v>3</v>
      </c>
      <c r="I8" s="7">
        <v>34</v>
      </c>
      <c r="J8" s="7">
        <v>33</v>
      </c>
      <c r="K8" s="7">
        <v>20</v>
      </c>
      <c r="L8" s="7">
        <v>13</v>
      </c>
      <c r="M8" s="7">
        <v>7</v>
      </c>
      <c r="N8" s="7">
        <v>3</v>
      </c>
      <c r="O8" s="7">
        <v>6</v>
      </c>
      <c r="P8" s="7">
        <v>64</v>
      </c>
      <c r="Q8" s="7">
        <v>89</v>
      </c>
      <c r="R8" s="7">
        <v>43</v>
      </c>
      <c r="S8" s="7">
        <v>92</v>
      </c>
      <c r="T8" s="8">
        <f t="shared" si="0"/>
        <v>45773</v>
      </c>
      <c r="U8" s="12">
        <v>4</v>
      </c>
      <c r="V8" s="7" t="s">
        <v>18</v>
      </c>
      <c r="W8" s="7" t="s">
        <v>18</v>
      </c>
      <c r="X8" s="5"/>
    </row>
    <row r="9" spans="1:24" s="6" customFormat="1" ht="12.5" x14ac:dyDescent="0.25">
      <c r="A9" s="5" t="s">
        <v>10</v>
      </c>
      <c r="B9" s="5" t="s">
        <v>35</v>
      </c>
      <c r="C9" s="5" t="s">
        <v>31</v>
      </c>
      <c r="D9" s="5" t="s">
        <v>11</v>
      </c>
      <c r="E9" s="5" t="s">
        <v>12</v>
      </c>
      <c r="F9" s="36">
        <v>45769</v>
      </c>
      <c r="G9" s="36">
        <v>45774</v>
      </c>
      <c r="H9" s="7">
        <v>2</v>
      </c>
      <c r="I9" s="7">
        <v>30</v>
      </c>
      <c r="J9" s="7">
        <v>30</v>
      </c>
      <c r="K9" s="7">
        <v>21</v>
      </c>
      <c r="L9" s="7">
        <v>9</v>
      </c>
      <c r="M9" s="7">
        <v>6</v>
      </c>
      <c r="N9" s="7">
        <v>3</v>
      </c>
      <c r="O9" s="7">
        <v>4</v>
      </c>
      <c r="P9" s="7">
        <v>50</v>
      </c>
      <c r="Q9" s="7">
        <v>87</v>
      </c>
      <c r="R9" s="7">
        <v>44</v>
      </c>
      <c r="S9" s="7">
        <v>89</v>
      </c>
      <c r="T9" s="8">
        <f t="shared" si="0"/>
        <v>45774</v>
      </c>
      <c r="U9" s="12">
        <v>4</v>
      </c>
      <c r="V9" s="7" t="s">
        <v>18</v>
      </c>
      <c r="W9" s="7" t="s">
        <v>18</v>
      </c>
      <c r="X9" s="5"/>
    </row>
    <row r="10" spans="1:24" s="6" customFormat="1" ht="12.5" x14ac:dyDescent="0.25">
      <c r="A10" s="5" t="s">
        <v>10</v>
      </c>
      <c r="B10" s="5" t="s">
        <v>34</v>
      </c>
      <c r="C10" s="5" t="s">
        <v>32</v>
      </c>
      <c r="D10" s="5" t="s">
        <v>17</v>
      </c>
      <c r="E10" s="5" t="s">
        <v>16</v>
      </c>
      <c r="F10" s="36">
        <v>45775</v>
      </c>
      <c r="G10" s="36">
        <v>45780</v>
      </c>
      <c r="H10" s="7">
        <v>3</v>
      </c>
      <c r="I10" s="26">
        <v>30</v>
      </c>
      <c r="J10" s="28">
        <v>30</v>
      </c>
      <c r="K10" s="10">
        <v>23</v>
      </c>
      <c r="L10" s="10">
        <v>7</v>
      </c>
      <c r="M10" s="7">
        <v>6</v>
      </c>
      <c r="N10" s="9">
        <v>3</v>
      </c>
      <c r="O10" s="9">
        <v>6</v>
      </c>
      <c r="P10" s="9">
        <v>63</v>
      </c>
      <c r="Q10" s="9">
        <v>92</v>
      </c>
      <c r="R10" s="9">
        <v>45.6</v>
      </c>
      <c r="S10" s="9">
        <v>94</v>
      </c>
      <c r="T10" s="8">
        <f t="shared" si="0"/>
        <v>45780</v>
      </c>
      <c r="U10" s="12">
        <v>4</v>
      </c>
      <c r="V10" s="7" t="s">
        <v>25</v>
      </c>
      <c r="W10" s="7" t="s">
        <v>18</v>
      </c>
      <c r="X10" s="5" t="s">
        <v>26</v>
      </c>
    </row>
    <row r="11" spans="1:24" s="6" customFormat="1" ht="12.5" x14ac:dyDescent="0.25">
      <c r="A11" s="5" t="s">
        <v>10</v>
      </c>
      <c r="B11" s="5" t="s">
        <v>34</v>
      </c>
      <c r="C11" s="5" t="s">
        <v>32</v>
      </c>
      <c r="D11" s="5" t="s">
        <v>17</v>
      </c>
      <c r="E11" s="5" t="s">
        <v>16</v>
      </c>
      <c r="F11" s="36">
        <v>45776</v>
      </c>
      <c r="G11" s="36">
        <v>45781</v>
      </c>
      <c r="H11" s="7">
        <v>4</v>
      </c>
      <c r="I11" s="26">
        <v>30</v>
      </c>
      <c r="J11" s="28">
        <v>30</v>
      </c>
      <c r="K11" s="32">
        <v>19</v>
      </c>
      <c r="L11" s="32">
        <v>11</v>
      </c>
      <c r="M11" s="7">
        <v>6</v>
      </c>
      <c r="N11" s="9">
        <v>4</v>
      </c>
      <c r="O11" s="9">
        <v>8</v>
      </c>
      <c r="P11" s="9">
        <v>60</v>
      </c>
      <c r="Q11" s="9">
        <v>89.6</v>
      </c>
      <c r="R11" s="9">
        <v>49</v>
      </c>
      <c r="S11" s="9">
        <v>93</v>
      </c>
      <c r="T11" s="8">
        <f t="shared" si="0"/>
        <v>45781</v>
      </c>
      <c r="U11" s="12">
        <v>4</v>
      </c>
      <c r="V11" s="7" t="s">
        <v>25</v>
      </c>
      <c r="W11" s="7" t="s">
        <v>18</v>
      </c>
      <c r="X11" s="5" t="s">
        <v>26</v>
      </c>
    </row>
    <row r="12" spans="1:24" s="6" customFormat="1" ht="12.5" x14ac:dyDescent="0.25">
      <c r="A12" s="5" t="s">
        <v>10</v>
      </c>
      <c r="B12" s="5" t="s">
        <v>34</v>
      </c>
      <c r="C12" s="5" t="s">
        <v>32</v>
      </c>
      <c r="D12" s="5" t="s">
        <v>17</v>
      </c>
      <c r="E12" s="5" t="s">
        <v>16</v>
      </c>
      <c r="F12" s="36">
        <v>45782</v>
      </c>
      <c r="G12" s="36">
        <v>45787</v>
      </c>
      <c r="H12" s="7">
        <v>3</v>
      </c>
      <c r="I12" s="26">
        <v>34</v>
      </c>
      <c r="J12" s="28">
        <v>34</v>
      </c>
      <c r="K12" s="32">
        <v>23</v>
      </c>
      <c r="L12" s="32">
        <v>11</v>
      </c>
      <c r="M12" s="7">
        <v>7</v>
      </c>
      <c r="N12" s="9">
        <v>3</v>
      </c>
      <c r="O12" s="9">
        <v>6</v>
      </c>
      <c r="P12" s="9">
        <v>63</v>
      </c>
      <c r="Q12" s="9">
        <v>90</v>
      </c>
      <c r="R12" s="9">
        <v>48</v>
      </c>
      <c r="S12" s="9">
        <v>91</v>
      </c>
      <c r="T12" s="8">
        <f t="shared" si="0"/>
        <v>45787</v>
      </c>
      <c r="U12" s="12">
        <v>4</v>
      </c>
      <c r="V12" s="7" t="s">
        <v>18</v>
      </c>
      <c r="W12" s="7" t="s">
        <v>18</v>
      </c>
      <c r="X12" s="5"/>
    </row>
    <row r="13" spans="1:24" s="6" customFormat="1" ht="12.5" x14ac:dyDescent="0.25">
      <c r="A13" s="5" t="s">
        <v>10</v>
      </c>
      <c r="B13" s="5" t="s">
        <v>34</v>
      </c>
      <c r="C13" s="5" t="s">
        <v>30</v>
      </c>
      <c r="D13" s="5" t="s">
        <v>15</v>
      </c>
      <c r="E13" s="5" t="s">
        <v>16</v>
      </c>
      <c r="F13" s="36">
        <v>45783</v>
      </c>
      <c r="G13" s="36">
        <v>45788</v>
      </c>
      <c r="H13" s="7">
        <v>1</v>
      </c>
      <c r="I13" s="7">
        <v>30</v>
      </c>
      <c r="J13" s="10">
        <v>30</v>
      </c>
      <c r="K13" s="10">
        <v>18</v>
      </c>
      <c r="L13" s="10">
        <v>12</v>
      </c>
      <c r="M13" s="7">
        <v>4</v>
      </c>
      <c r="N13" s="9">
        <v>1</v>
      </c>
      <c r="O13" s="9">
        <v>2</v>
      </c>
      <c r="P13" s="9">
        <v>62</v>
      </c>
      <c r="Q13" s="9">
        <v>88.4</v>
      </c>
      <c r="R13" s="9">
        <v>49</v>
      </c>
      <c r="S13" s="9">
        <v>93</v>
      </c>
      <c r="T13" s="8">
        <f t="shared" si="0"/>
        <v>45788</v>
      </c>
      <c r="U13" s="12">
        <v>4</v>
      </c>
      <c r="V13" s="7" t="s">
        <v>18</v>
      </c>
      <c r="W13" s="7" t="s">
        <v>18</v>
      </c>
      <c r="X13" s="5"/>
    </row>
    <row r="14" spans="1:24" s="6" customFormat="1" ht="12.5" x14ac:dyDescent="0.25">
      <c r="A14" s="5" t="s">
        <v>10</v>
      </c>
      <c r="B14" s="5" t="s">
        <v>35</v>
      </c>
      <c r="C14" s="5" t="s">
        <v>12</v>
      </c>
      <c r="D14" s="5" t="s">
        <v>13</v>
      </c>
      <c r="E14" s="5" t="s">
        <v>14</v>
      </c>
      <c r="F14" s="36">
        <v>45789</v>
      </c>
      <c r="G14" s="36">
        <v>45794</v>
      </c>
      <c r="H14" s="7">
        <v>2</v>
      </c>
      <c r="I14" s="7">
        <v>30</v>
      </c>
      <c r="J14" s="7">
        <v>30</v>
      </c>
      <c r="K14" s="7">
        <v>23</v>
      </c>
      <c r="L14" s="7">
        <v>7</v>
      </c>
      <c r="M14" s="7">
        <v>6</v>
      </c>
      <c r="N14" s="7">
        <v>2</v>
      </c>
      <c r="O14" s="7">
        <v>4</v>
      </c>
      <c r="P14" s="7">
        <v>65</v>
      </c>
      <c r="Q14" s="7">
        <v>91</v>
      </c>
      <c r="R14" s="7">
        <v>49.3</v>
      </c>
      <c r="S14" s="7">
        <v>93</v>
      </c>
      <c r="T14" s="8">
        <f t="shared" si="0"/>
        <v>45794</v>
      </c>
      <c r="U14" s="12">
        <v>4</v>
      </c>
      <c r="V14" s="7" t="s">
        <v>18</v>
      </c>
      <c r="W14" s="7" t="s">
        <v>18</v>
      </c>
      <c r="X14" s="5"/>
    </row>
    <row r="15" spans="1:24" s="6" customFormat="1" ht="12.5" x14ac:dyDescent="0.25">
      <c r="A15" s="5" t="s">
        <v>10</v>
      </c>
      <c r="B15" s="13" t="s">
        <v>35</v>
      </c>
      <c r="C15" s="13" t="s">
        <v>12</v>
      </c>
      <c r="D15" s="13" t="s">
        <v>13</v>
      </c>
      <c r="E15" s="13" t="s">
        <v>14</v>
      </c>
      <c r="F15" s="40">
        <v>45790</v>
      </c>
      <c r="G15" s="40">
        <v>45795</v>
      </c>
      <c r="H15" s="11">
        <v>4</v>
      </c>
      <c r="I15" s="11">
        <v>30</v>
      </c>
      <c r="J15" s="11">
        <v>31</v>
      </c>
      <c r="K15" s="7">
        <v>27</v>
      </c>
      <c r="L15" s="7">
        <v>4</v>
      </c>
      <c r="M15" s="11">
        <v>7</v>
      </c>
      <c r="N15" s="11">
        <v>4</v>
      </c>
      <c r="O15" s="11">
        <v>8</v>
      </c>
      <c r="P15" s="22">
        <v>67</v>
      </c>
      <c r="Q15" s="22">
        <v>89.3</v>
      </c>
      <c r="R15" s="22">
        <v>37.4</v>
      </c>
      <c r="S15" s="22">
        <v>90.4</v>
      </c>
      <c r="T15" s="14">
        <f t="shared" si="0"/>
        <v>45795</v>
      </c>
      <c r="U15" s="15">
        <v>4</v>
      </c>
      <c r="V15" s="11" t="s">
        <v>18</v>
      </c>
      <c r="W15" s="11" t="s">
        <v>18</v>
      </c>
      <c r="X15" s="13"/>
    </row>
    <row r="16" spans="1:24" s="6" customFormat="1" ht="12.5" x14ac:dyDescent="0.25">
      <c r="A16" s="5" t="s">
        <v>10</v>
      </c>
      <c r="B16" s="5" t="s">
        <v>35</v>
      </c>
      <c r="C16" s="5" t="s">
        <v>12</v>
      </c>
      <c r="D16" s="5" t="s">
        <v>13</v>
      </c>
      <c r="E16" s="5" t="s">
        <v>14</v>
      </c>
      <c r="F16" s="36">
        <v>45796</v>
      </c>
      <c r="G16" s="36">
        <v>45801</v>
      </c>
      <c r="H16" s="7">
        <v>5</v>
      </c>
      <c r="I16" s="7">
        <v>30</v>
      </c>
      <c r="J16" s="7">
        <v>30</v>
      </c>
      <c r="K16" s="7">
        <v>26</v>
      </c>
      <c r="L16" s="7">
        <v>4</v>
      </c>
      <c r="M16" s="7">
        <v>7</v>
      </c>
      <c r="N16" s="7">
        <v>6</v>
      </c>
      <c r="O16" s="7">
        <v>10</v>
      </c>
      <c r="P16" s="23">
        <v>64.900000000000006</v>
      </c>
      <c r="Q16" s="23">
        <v>92.3</v>
      </c>
      <c r="R16" s="23">
        <v>45.8</v>
      </c>
      <c r="S16" s="23">
        <v>96.8</v>
      </c>
      <c r="T16" s="8">
        <f t="shared" si="0"/>
        <v>45801</v>
      </c>
      <c r="U16" s="12">
        <v>4</v>
      </c>
      <c r="V16" s="7" t="s">
        <v>18</v>
      </c>
      <c r="W16" s="7" t="s">
        <v>18</v>
      </c>
      <c r="X16" s="5"/>
    </row>
    <row r="17" spans="1:24" s="6" customFormat="1" ht="12.5" x14ac:dyDescent="0.25">
      <c r="A17" s="5" t="s">
        <v>10</v>
      </c>
      <c r="B17" s="5" t="s">
        <v>35</v>
      </c>
      <c r="C17" s="5" t="s">
        <v>12</v>
      </c>
      <c r="D17" s="5" t="s">
        <v>13</v>
      </c>
      <c r="E17" s="5" t="s">
        <v>14</v>
      </c>
      <c r="F17" s="36">
        <v>45797</v>
      </c>
      <c r="G17" s="36">
        <v>45802</v>
      </c>
      <c r="H17" s="7">
        <v>3</v>
      </c>
      <c r="I17" s="7">
        <v>30</v>
      </c>
      <c r="J17" s="7">
        <v>32</v>
      </c>
      <c r="K17" s="7">
        <v>25</v>
      </c>
      <c r="L17" s="7">
        <v>7</v>
      </c>
      <c r="M17" s="7">
        <v>6</v>
      </c>
      <c r="N17" s="7">
        <v>3</v>
      </c>
      <c r="O17" s="7">
        <v>6</v>
      </c>
      <c r="P17" s="7">
        <v>59</v>
      </c>
      <c r="Q17" s="7">
        <v>91</v>
      </c>
      <c r="R17" s="7">
        <v>52</v>
      </c>
      <c r="S17" s="7">
        <v>95</v>
      </c>
      <c r="T17" s="8">
        <f t="shared" si="0"/>
        <v>45802</v>
      </c>
      <c r="U17" s="12">
        <v>4</v>
      </c>
      <c r="V17" s="7" t="s">
        <v>18</v>
      </c>
      <c r="W17" s="7" t="s">
        <v>18</v>
      </c>
      <c r="X17" s="5"/>
    </row>
    <row r="18" spans="1:24" s="6" customFormat="1" ht="12.5" x14ac:dyDescent="0.25">
      <c r="A18" s="6" t="s">
        <v>10</v>
      </c>
      <c r="B18" s="6" t="s">
        <v>35</v>
      </c>
      <c r="C18" s="6" t="s">
        <v>33</v>
      </c>
      <c r="D18" s="13" t="s">
        <v>27</v>
      </c>
      <c r="E18" s="13" t="s">
        <v>28</v>
      </c>
      <c r="F18" s="40">
        <v>45810</v>
      </c>
      <c r="G18" s="40">
        <v>45815</v>
      </c>
      <c r="H18" s="11">
        <v>3</v>
      </c>
      <c r="I18" s="11">
        <v>30</v>
      </c>
      <c r="J18" s="54">
        <v>30</v>
      </c>
      <c r="K18" s="7">
        <v>22</v>
      </c>
      <c r="L18" s="7">
        <v>8</v>
      </c>
      <c r="M18" s="11">
        <v>7</v>
      </c>
      <c r="N18" s="11">
        <v>3</v>
      </c>
      <c r="O18" s="11">
        <v>6</v>
      </c>
      <c r="P18" s="11">
        <v>64</v>
      </c>
      <c r="Q18" s="11">
        <v>93</v>
      </c>
      <c r="R18" s="11">
        <v>48</v>
      </c>
      <c r="S18" s="11">
        <v>89</v>
      </c>
      <c r="T18" s="14">
        <f t="shared" si="0"/>
        <v>45815</v>
      </c>
      <c r="U18" s="15">
        <v>4</v>
      </c>
      <c r="V18" s="11" t="s">
        <v>18</v>
      </c>
      <c r="W18" s="11" t="s">
        <v>18</v>
      </c>
      <c r="X18" s="13"/>
    </row>
    <row r="19" spans="1:24" s="6" customFormat="1" ht="12.5" x14ac:dyDescent="0.25">
      <c r="A19" s="5" t="s">
        <v>10</v>
      </c>
      <c r="B19" s="5" t="s">
        <v>35</v>
      </c>
      <c r="C19" s="5" t="s">
        <v>33</v>
      </c>
      <c r="D19" s="5" t="s">
        <v>27</v>
      </c>
      <c r="E19" s="5" t="s">
        <v>28</v>
      </c>
      <c r="F19" s="36">
        <v>45811</v>
      </c>
      <c r="G19" s="36">
        <v>45816</v>
      </c>
      <c r="H19" s="7">
        <v>2</v>
      </c>
      <c r="I19" s="7">
        <v>30</v>
      </c>
      <c r="J19" s="7">
        <v>30</v>
      </c>
      <c r="K19" s="7">
        <v>17</v>
      </c>
      <c r="L19" s="7">
        <v>13</v>
      </c>
      <c r="M19" s="7">
        <v>6</v>
      </c>
      <c r="N19" s="7">
        <v>2</v>
      </c>
      <c r="O19" s="7">
        <v>4</v>
      </c>
      <c r="P19" s="7">
        <v>55</v>
      </c>
      <c r="Q19" s="7">
        <v>89</v>
      </c>
      <c r="R19" s="7">
        <v>49</v>
      </c>
      <c r="S19" s="7">
        <v>90</v>
      </c>
      <c r="T19" s="8">
        <f t="shared" si="0"/>
        <v>45816</v>
      </c>
      <c r="U19" s="12">
        <v>4</v>
      </c>
      <c r="V19" s="7" t="s">
        <v>18</v>
      </c>
      <c r="W19" s="7" t="s">
        <v>18</v>
      </c>
      <c r="X19" s="5"/>
    </row>
    <row r="20" spans="1:24" s="6" customFormat="1" ht="12.5" x14ac:dyDescent="0.25">
      <c r="A20" s="5" t="s">
        <v>10</v>
      </c>
      <c r="B20" s="5" t="s">
        <v>35</v>
      </c>
      <c r="C20" s="5" t="s">
        <v>33</v>
      </c>
      <c r="D20" s="5" t="s">
        <v>27</v>
      </c>
      <c r="E20" s="5" t="s">
        <v>28</v>
      </c>
      <c r="F20" s="36">
        <v>45817</v>
      </c>
      <c r="G20" s="36">
        <v>45822</v>
      </c>
      <c r="H20" s="7">
        <v>4</v>
      </c>
      <c r="I20" s="7">
        <v>28</v>
      </c>
      <c r="J20" s="29">
        <v>27</v>
      </c>
      <c r="K20" s="31">
        <v>20</v>
      </c>
      <c r="L20" s="31">
        <v>7</v>
      </c>
      <c r="M20" s="7">
        <v>5</v>
      </c>
      <c r="N20" s="7">
        <v>5</v>
      </c>
      <c r="O20" s="7">
        <v>8</v>
      </c>
      <c r="P20" s="7">
        <v>57</v>
      </c>
      <c r="Q20" s="7">
        <v>87</v>
      </c>
      <c r="R20" s="7">
        <v>46.6</v>
      </c>
      <c r="S20" s="7">
        <v>89.5</v>
      </c>
      <c r="T20" s="8">
        <f t="shared" si="0"/>
        <v>45822</v>
      </c>
      <c r="U20" s="12">
        <v>4</v>
      </c>
      <c r="V20" s="7" t="s">
        <v>18</v>
      </c>
      <c r="W20" s="7" t="s">
        <v>18</v>
      </c>
      <c r="X20" s="5"/>
    </row>
    <row r="21" spans="1:24" s="6" customFormat="1" ht="12.5" x14ac:dyDescent="0.25">
      <c r="A21" s="5" t="s">
        <v>10</v>
      </c>
      <c r="B21" s="5" t="s">
        <v>35</v>
      </c>
      <c r="C21" s="5" t="s">
        <v>33</v>
      </c>
      <c r="D21" s="5" t="s">
        <v>27</v>
      </c>
      <c r="E21" s="5" t="s">
        <v>28</v>
      </c>
      <c r="F21" s="36">
        <v>45818</v>
      </c>
      <c r="G21" s="36">
        <v>45823</v>
      </c>
      <c r="H21" s="3">
        <v>2</v>
      </c>
      <c r="I21" s="3">
        <v>28</v>
      </c>
      <c r="J21" s="3">
        <v>28</v>
      </c>
      <c r="K21" s="7">
        <v>25</v>
      </c>
      <c r="L21" s="7">
        <v>3</v>
      </c>
      <c r="M21" s="7">
        <v>6</v>
      </c>
      <c r="N21" s="7">
        <v>2</v>
      </c>
      <c r="O21" s="7">
        <v>4</v>
      </c>
      <c r="P21" s="7">
        <v>63</v>
      </c>
      <c r="Q21" s="7">
        <v>91</v>
      </c>
      <c r="R21" s="7">
        <v>52</v>
      </c>
      <c r="S21" s="7">
        <v>94</v>
      </c>
      <c r="T21" s="8">
        <f t="shared" si="0"/>
        <v>45823</v>
      </c>
      <c r="U21" s="12">
        <v>4</v>
      </c>
      <c r="V21" s="7" t="s">
        <v>18</v>
      </c>
      <c r="W21" s="7" t="s">
        <v>18</v>
      </c>
      <c r="X21" s="5"/>
    </row>
    <row r="22" spans="1:24" s="6" customFormat="1" ht="12.5" x14ac:dyDescent="0.25">
      <c r="A22" s="5" t="s">
        <v>10</v>
      </c>
      <c r="B22" s="5" t="s">
        <v>35</v>
      </c>
      <c r="C22" s="5" t="s">
        <v>12</v>
      </c>
      <c r="D22" s="5" t="s">
        <v>13</v>
      </c>
      <c r="E22" s="5" t="s">
        <v>14</v>
      </c>
      <c r="F22" s="36">
        <v>45838</v>
      </c>
      <c r="G22" s="36">
        <v>45843</v>
      </c>
      <c r="H22" s="3">
        <v>2</v>
      </c>
      <c r="I22" s="3">
        <v>35</v>
      </c>
      <c r="J22" s="3">
        <v>35</v>
      </c>
      <c r="K22" s="7">
        <v>33</v>
      </c>
      <c r="L22" s="7">
        <v>2</v>
      </c>
      <c r="M22" s="7">
        <v>7</v>
      </c>
      <c r="N22" s="7">
        <v>3</v>
      </c>
      <c r="O22" s="7">
        <v>4</v>
      </c>
      <c r="P22" s="11">
        <v>59</v>
      </c>
      <c r="Q22" s="11">
        <v>83</v>
      </c>
      <c r="R22" s="11">
        <v>29</v>
      </c>
      <c r="S22" s="11">
        <v>74</v>
      </c>
      <c r="T22" s="8">
        <f t="shared" si="0"/>
        <v>45843</v>
      </c>
      <c r="U22" s="12">
        <v>4</v>
      </c>
      <c r="V22" s="7" t="s">
        <v>18</v>
      </c>
      <c r="W22" s="7" t="s">
        <v>18</v>
      </c>
      <c r="X22" s="5"/>
    </row>
    <row r="23" spans="1:24" s="6" customFormat="1" ht="12.5" x14ac:dyDescent="0.25">
      <c r="A23" s="27" t="s">
        <v>10</v>
      </c>
      <c r="B23" s="27" t="s">
        <v>35</v>
      </c>
      <c r="C23" s="27" t="s">
        <v>12</v>
      </c>
      <c r="D23" s="27" t="s">
        <v>13</v>
      </c>
      <c r="E23" s="27" t="s">
        <v>14</v>
      </c>
      <c r="F23" s="36">
        <v>45839</v>
      </c>
      <c r="G23" s="36">
        <v>45844</v>
      </c>
      <c r="H23" s="7">
        <v>4</v>
      </c>
      <c r="I23" s="7">
        <v>35</v>
      </c>
      <c r="J23" s="7">
        <v>35</v>
      </c>
      <c r="K23" s="7">
        <v>27</v>
      </c>
      <c r="L23" s="7">
        <v>8</v>
      </c>
      <c r="M23" s="7">
        <v>7</v>
      </c>
      <c r="N23" s="7">
        <v>4</v>
      </c>
      <c r="O23" s="7">
        <v>8</v>
      </c>
      <c r="P23" s="42">
        <v>59.6</v>
      </c>
      <c r="Q23" s="42">
        <v>84.742857139999998</v>
      </c>
      <c r="R23" s="42">
        <v>28.17142857</v>
      </c>
      <c r="S23" s="42">
        <v>76.657142859999993</v>
      </c>
      <c r="T23" s="8">
        <f t="shared" si="0"/>
        <v>45844</v>
      </c>
      <c r="U23" s="12">
        <v>4</v>
      </c>
      <c r="V23" s="7" t="s">
        <v>18</v>
      </c>
      <c r="W23" s="7" t="s">
        <v>18</v>
      </c>
      <c r="X23" s="7"/>
    </row>
    <row r="24" spans="1:24" s="6" customFormat="1" ht="12.5" x14ac:dyDescent="0.25">
      <c r="A24" s="27" t="s">
        <v>10</v>
      </c>
      <c r="B24" s="27" t="s">
        <v>35</v>
      </c>
      <c r="C24" s="27" t="s">
        <v>12</v>
      </c>
      <c r="D24" s="27" t="s">
        <v>13</v>
      </c>
      <c r="E24" s="27" t="s">
        <v>14</v>
      </c>
      <c r="F24" s="36">
        <v>45845</v>
      </c>
      <c r="G24" s="36">
        <v>45850</v>
      </c>
      <c r="H24" s="7">
        <v>4</v>
      </c>
      <c r="I24" s="7">
        <v>33</v>
      </c>
      <c r="J24" s="12">
        <v>33</v>
      </c>
      <c r="K24" s="12">
        <v>1</v>
      </c>
      <c r="L24" s="12">
        <v>32</v>
      </c>
      <c r="M24" s="12">
        <v>7</v>
      </c>
      <c r="N24" s="12">
        <v>4</v>
      </c>
      <c r="O24" s="12">
        <v>8</v>
      </c>
      <c r="P24" s="12">
        <v>53</v>
      </c>
      <c r="Q24" s="7">
        <v>82</v>
      </c>
      <c r="R24" s="7">
        <v>41</v>
      </c>
      <c r="S24" s="7">
        <v>93</v>
      </c>
      <c r="T24" s="8">
        <f t="shared" si="0"/>
        <v>45850</v>
      </c>
      <c r="U24" s="12">
        <v>4</v>
      </c>
      <c r="V24" s="7" t="s">
        <v>18</v>
      </c>
      <c r="W24" s="7" t="s">
        <v>18</v>
      </c>
      <c r="X24" s="7"/>
    </row>
    <row r="25" spans="1:24" s="6" customFormat="1" ht="12.5" x14ac:dyDescent="0.25">
      <c r="A25" s="27" t="s">
        <v>10</v>
      </c>
      <c r="B25" s="27" t="s">
        <v>34</v>
      </c>
      <c r="C25" s="27" t="s">
        <v>30</v>
      </c>
      <c r="D25" s="27" t="s">
        <v>15</v>
      </c>
      <c r="E25" s="27" t="s">
        <v>16</v>
      </c>
      <c r="F25" s="41">
        <v>45859</v>
      </c>
      <c r="G25" s="41">
        <v>45864</v>
      </c>
      <c r="H25" s="7">
        <v>2</v>
      </c>
      <c r="I25" s="7">
        <v>33</v>
      </c>
      <c r="J25" s="12">
        <v>33</v>
      </c>
      <c r="K25" s="12">
        <v>11</v>
      </c>
      <c r="L25" s="12">
        <v>22</v>
      </c>
      <c r="M25" s="12">
        <v>5</v>
      </c>
      <c r="N25" s="12">
        <v>3</v>
      </c>
      <c r="O25" s="12">
        <v>4</v>
      </c>
      <c r="P25" s="11">
        <v>59</v>
      </c>
      <c r="Q25" s="11">
        <v>91</v>
      </c>
      <c r="R25" s="11">
        <v>43</v>
      </c>
      <c r="S25" s="11">
        <v>88</v>
      </c>
      <c r="T25" s="8">
        <f t="shared" si="0"/>
        <v>45864</v>
      </c>
      <c r="U25" s="12">
        <v>4</v>
      </c>
      <c r="V25" s="7" t="s">
        <v>18</v>
      </c>
      <c r="W25" s="7" t="s">
        <v>18</v>
      </c>
      <c r="X25" s="7"/>
    </row>
    <row r="26" spans="1:24" s="6" customFormat="1" ht="12.5" x14ac:dyDescent="0.25">
      <c r="A26" s="27" t="s">
        <v>10</v>
      </c>
      <c r="B26" s="27" t="s">
        <v>34</v>
      </c>
      <c r="C26" s="27" t="s">
        <v>30</v>
      </c>
      <c r="D26" s="27" t="s">
        <v>15</v>
      </c>
      <c r="E26" s="27" t="s">
        <v>16</v>
      </c>
      <c r="F26" s="41">
        <v>45860</v>
      </c>
      <c r="G26" s="41">
        <v>45865</v>
      </c>
      <c r="H26" s="7">
        <v>1</v>
      </c>
      <c r="I26" s="7">
        <v>32</v>
      </c>
      <c r="J26" s="12">
        <v>32</v>
      </c>
      <c r="K26" s="12">
        <v>19</v>
      </c>
      <c r="L26" s="12">
        <v>14</v>
      </c>
      <c r="M26" s="12">
        <v>7</v>
      </c>
      <c r="N26" s="12">
        <v>2</v>
      </c>
      <c r="O26" s="12">
        <v>2</v>
      </c>
      <c r="P26" s="7">
        <v>52</v>
      </c>
      <c r="Q26" s="7">
        <v>84</v>
      </c>
      <c r="R26" s="7">
        <v>46</v>
      </c>
      <c r="S26" s="7">
        <v>93</v>
      </c>
      <c r="T26" s="8">
        <f t="shared" si="0"/>
        <v>45865</v>
      </c>
      <c r="U26" s="12">
        <v>4</v>
      </c>
      <c r="V26" s="7" t="s">
        <v>18</v>
      </c>
      <c r="W26" s="7" t="s">
        <v>18</v>
      </c>
      <c r="X26" s="7"/>
    </row>
    <row r="27" spans="1:24" s="6" customFormat="1" ht="12.5" x14ac:dyDescent="0.25">
      <c r="A27" s="27" t="s">
        <v>10</v>
      </c>
      <c r="B27" s="27" t="s">
        <v>35</v>
      </c>
      <c r="C27" s="27" t="s">
        <v>33</v>
      </c>
      <c r="D27" s="27" t="s">
        <v>27</v>
      </c>
      <c r="E27" s="27" t="s">
        <v>12</v>
      </c>
      <c r="F27" s="41">
        <v>45866</v>
      </c>
      <c r="G27" s="41">
        <v>45871</v>
      </c>
      <c r="H27" s="7">
        <v>4</v>
      </c>
      <c r="I27" s="7">
        <v>31</v>
      </c>
      <c r="J27" s="12">
        <v>31</v>
      </c>
      <c r="K27" s="12">
        <v>24</v>
      </c>
      <c r="L27" s="12">
        <v>7</v>
      </c>
      <c r="M27" s="12">
        <v>7</v>
      </c>
      <c r="N27" s="12">
        <v>4</v>
      </c>
      <c r="O27" s="12">
        <v>8</v>
      </c>
      <c r="P27" s="7">
        <v>59</v>
      </c>
      <c r="Q27" s="7">
        <v>86</v>
      </c>
      <c r="R27" s="7">
        <v>44</v>
      </c>
      <c r="S27" s="7">
        <v>91</v>
      </c>
      <c r="T27" s="8">
        <f t="shared" si="0"/>
        <v>45871</v>
      </c>
      <c r="U27" s="12">
        <v>4</v>
      </c>
      <c r="V27" s="7" t="s">
        <v>18</v>
      </c>
      <c r="W27" s="7" t="s">
        <v>18</v>
      </c>
      <c r="X27" s="7"/>
    </row>
    <row r="28" spans="1:24" s="6" customFormat="1" ht="12.5" x14ac:dyDescent="0.25">
      <c r="A28" s="27" t="s">
        <v>10</v>
      </c>
      <c r="B28" s="27" t="s">
        <v>35</v>
      </c>
      <c r="C28" s="27" t="s">
        <v>33</v>
      </c>
      <c r="D28" s="27" t="s">
        <v>27</v>
      </c>
      <c r="E28" s="27" t="s">
        <v>12</v>
      </c>
      <c r="F28" s="41">
        <v>45867</v>
      </c>
      <c r="G28" s="41">
        <v>45872</v>
      </c>
      <c r="H28" s="7">
        <v>2</v>
      </c>
      <c r="I28" s="7">
        <v>32</v>
      </c>
      <c r="J28" s="12">
        <v>32</v>
      </c>
      <c r="K28" s="12">
        <v>27</v>
      </c>
      <c r="L28" s="12">
        <v>5</v>
      </c>
      <c r="M28" s="12">
        <v>7</v>
      </c>
      <c r="N28" s="12">
        <v>3</v>
      </c>
      <c r="O28" s="12">
        <v>4</v>
      </c>
      <c r="P28" s="7">
        <v>62</v>
      </c>
      <c r="Q28" s="7">
        <v>89</v>
      </c>
      <c r="R28" s="7">
        <v>51</v>
      </c>
      <c r="S28" s="7">
        <v>93</v>
      </c>
      <c r="T28" s="8">
        <f t="shared" si="0"/>
        <v>45872</v>
      </c>
      <c r="U28" s="12">
        <v>4</v>
      </c>
      <c r="V28" s="7" t="s">
        <v>18</v>
      </c>
      <c r="W28" s="7" t="s">
        <v>18</v>
      </c>
      <c r="X28" s="7"/>
    </row>
    <row r="29" spans="1:24" s="6" customFormat="1" ht="12.5" x14ac:dyDescent="0.25">
      <c r="A29" s="27" t="s">
        <v>10</v>
      </c>
      <c r="B29" s="27" t="s">
        <v>34</v>
      </c>
      <c r="C29" s="27" t="s">
        <v>30</v>
      </c>
      <c r="D29" s="27" t="s">
        <v>15</v>
      </c>
      <c r="E29" s="27" t="s">
        <v>16</v>
      </c>
      <c r="F29" s="36">
        <v>45867</v>
      </c>
      <c r="G29" s="36">
        <v>45872</v>
      </c>
      <c r="H29" s="7">
        <v>2</v>
      </c>
      <c r="I29" s="7">
        <v>34</v>
      </c>
      <c r="J29" s="12">
        <v>34</v>
      </c>
      <c r="K29" s="12">
        <v>12</v>
      </c>
      <c r="L29" s="12">
        <v>22</v>
      </c>
      <c r="M29" s="12">
        <v>6</v>
      </c>
      <c r="N29" s="12">
        <v>3</v>
      </c>
      <c r="O29" s="12">
        <v>4</v>
      </c>
      <c r="P29" s="11">
        <v>57</v>
      </c>
      <c r="Q29" s="11">
        <v>82</v>
      </c>
      <c r="R29" s="11">
        <v>38</v>
      </c>
      <c r="S29" s="11">
        <v>84</v>
      </c>
      <c r="T29" s="8">
        <f t="shared" si="0"/>
        <v>45872</v>
      </c>
      <c r="U29" s="12">
        <v>4</v>
      </c>
      <c r="V29" s="7" t="s">
        <v>18</v>
      </c>
      <c r="W29" s="7" t="s">
        <v>18</v>
      </c>
      <c r="X29" s="7"/>
    </row>
    <row r="30" spans="1:24" s="6" customFormat="1" ht="12.5" x14ac:dyDescent="0.25">
      <c r="A30" s="27" t="s">
        <v>10</v>
      </c>
      <c r="B30" s="27" t="s">
        <v>34</v>
      </c>
      <c r="C30" s="27" t="s">
        <v>30</v>
      </c>
      <c r="D30" s="27" t="s">
        <v>15</v>
      </c>
      <c r="E30" s="27" t="s">
        <v>16</v>
      </c>
      <c r="F30" s="36">
        <v>45868</v>
      </c>
      <c r="G30" s="36">
        <v>45873</v>
      </c>
      <c r="H30" s="7">
        <v>2</v>
      </c>
      <c r="I30" s="7">
        <v>32</v>
      </c>
      <c r="J30" s="12">
        <v>32</v>
      </c>
      <c r="K30" s="12">
        <v>18</v>
      </c>
      <c r="L30" s="12">
        <v>14</v>
      </c>
      <c r="M30" s="12">
        <v>6</v>
      </c>
      <c r="N30" s="12">
        <v>2</v>
      </c>
      <c r="O30" s="12">
        <v>4</v>
      </c>
      <c r="P30" s="7">
        <v>53</v>
      </c>
      <c r="Q30" s="7">
        <v>86</v>
      </c>
      <c r="R30" s="7">
        <v>46</v>
      </c>
      <c r="S30" s="7">
        <v>91</v>
      </c>
      <c r="T30" s="8">
        <f t="shared" si="0"/>
        <v>45873</v>
      </c>
      <c r="U30" s="12">
        <v>4</v>
      </c>
      <c r="V30" s="7" t="s">
        <v>18</v>
      </c>
      <c r="W30" s="7" t="s">
        <v>18</v>
      </c>
      <c r="X30" s="7"/>
    </row>
    <row r="31" spans="1:24" s="6" customFormat="1" ht="12.5" x14ac:dyDescent="0.25">
      <c r="A31" s="27" t="s">
        <v>10</v>
      </c>
      <c r="B31" s="27" t="s">
        <v>35</v>
      </c>
      <c r="C31" s="27" t="s">
        <v>33</v>
      </c>
      <c r="D31" s="27" t="s">
        <v>27</v>
      </c>
      <c r="E31" s="27" t="s">
        <v>12</v>
      </c>
      <c r="F31" s="36">
        <v>45873</v>
      </c>
      <c r="G31" s="36">
        <v>45847</v>
      </c>
      <c r="H31" s="7">
        <v>3</v>
      </c>
      <c r="I31" s="7">
        <v>34</v>
      </c>
      <c r="J31" s="12">
        <v>34</v>
      </c>
      <c r="K31" s="12">
        <v>26</v>
      </c>
      <c r="L31" s="12">
        <v>8</v>
      </c>
      <c r="M31" s="12">
        <v>7</v>
      </c>
      <c r="N31" s="12">
        <v>3</v>
      </c>
      <c r="O31" s="12">
        <v>6</v>
      </c>
      <c r="P31" s="12">
        <v>55</v>
      </c>
      <c r="Q31" s="7">
        <v>85</v>
      </c>
      <c r="R31" s="7">
        <v>42</v>
      </c>
      <c r="S31" s="7">
        <v>89</v>
      </c>
      <c r="T31" s="8">
        <f t="shared" si="0"/>
        <v>45847</v>
      </c>
      <c r="U31" s="12">
        <v>4</v>
      </c>
      <c r="V31" s="7" t="s">
        <v>18</v>
      </c>
      <c r="W31" s="7" t="s">
        <v>18</v>
      </c>
      <c r="X31" s="7"/>
    </row>
    <row r="32" spans="1:24" s="6" customFormat="1" ht="12.5" x14ac:dyDescent="0.25">
      <c r="A32" s="27" t="s">
        <v>10</v>
      </c>
      <c r="B32" s="27" t="s">
        <v>35</v>
      </c>
      <c r="C32" s="27" t="s">
        <v>33</v>
      </c>
      <c r="D32" s="27" t="s">
        <v>27</v>
      </c>
      <c r="E32" s="27" t="s">
        <v>12</v>
      </c>
      <c r="F32" s="36">
        <v>45874</v>
      </c>
      <c r="G32" s="36">
        <v>45879</v>
      </c>
      <c r="H32" s="7">
        <v>1</v>
      </c>
      <c r="I32" s="7">
        <v>33</v>
      </c>
      <c r="J32" s="12">
        <v>32</v>
      </c>
      <c r="K32" s="12">
        <v>26</v>
      </c>
      <c r="L32" s="12">
        <v>6</v>
      </c>
      <c r="M32" s="12">
        <v>7</v>
      </c>
      <c r="N32" s="12">
        <v>3</v>
      </c>
      <c r="O32" s="12">
        <v>2</v>
      </c>
      <c r="P32" s="12">
        <v>57</v>
      </c>
      <c r="Q32" s="7">
        <v>88</v>
      </c>
      <c r="R32" s="7">
        <v>46</v>
      </c>
      <c r="S32" s="7">
        <v>92</v>
      </c>
      <c r="T32" s="8">
        <f t="shared" si="0"/>
        <v>45879</v>
      </c>
      <c r="U32" s="12">
        <v>4</v>
      </c>
      <c r="V32" s="7" t="s">
        <v>18</v>
      </c>
      <c r="W32" s="7" t="s">
        <v>18</v>
      </c>
      <c r="X32" s="7"/>
    </row>
    <row r="33" spans="1:24" s="6" customFormat="1" ht="12.5" x14ac:dyDescent="0.25">
      <c r="A33" s="27" t="s">
        <v>10</v>
      </c>
      <c r="B33" s="27" t="s">
        <v>34</v>
      </c>
      <c r="C33" s="27" t="s">
        <v>30</v>
      </c>
      <c r="D33" s="27" t="s">
        <v>15</v>
      </c>
      <c r="E33" s="27" t="s">
        <v>16</v>
      </c>
      <c r="F33" s="36">
        <v>45875</v>
      </c>
      <c r="G33" s="36">
        <v>45880</v>
      </c>
      <c r="H33" s="7">
        <v>4</v>
      </c>
      <c r="I33" s="7">
        <v>67</v>
      </c>
      <c r="J33" s="12">
        <v>68</v>
      </c>
      <c r="K33" s="12">
        <v>21</v>
      </c>
      <c r="L33" s="12">
        <v>47</v>
      </c>
      <c r="M33" s="12">
        <v>12</v>
      </c>
      <c r="N33" s="12">
        <v>5</v>
      </c>
      <c r="O33" s="12">
        <v>8</v>
      </c>
      <c r="P33" s="12">
        <v>55</v>
      </c>
      <c r="Q33" s="7">
        <v>89</v>
      </c>
      <c r="R33" s="7">
        <v>46.5</v>
      </c>
      <c r="S33" s="7">
        <v>91</v>
      </c>
      <c r="T33" s="8">
        <f t="shared" si="0"/>
        <v>45880</v>
      </c>
      <c r="U33" s="12">
        <v>4</v>
      </c>
      <c r="V33" s="7" t="s">
        <v>18</v>
      </c>
      <c r="W33" s="7" t="s">
        <v>18</v>
      </c>
      <c r="X33" s="7"/>
    </row>
    <row r="34" spans="1:24" s="44" customFormat="1" ht="12.5" x14ac:dyDescent="0.25">
      <c r="A34" s="43"/>
      <c r="B34" s="43"/>
      <c r="C34" s="43"/>
      <c r="D34" s="43"/>
      <c r="E34" s="43"/>
      <c r="F34" s="43" t="s">
        <v>44</v>
      </c>
      <c r="G34" s="43"/>
      <c r="H34" s="52">
        <f>SUM(H2:H33)</f>
        <v>87</v>
      </c>
      <c r="I34" s="52">
        <f>SUM(I2:I33)</f>
        <v>1043</v>
      </c>
      <c r="J34" s="52">
        <f>SUM(J2:J33)</f>
        <v>1043</v>
      </c>
      <c r="K34" s="52">
        <f>SUM(K2:K33)</f>
        <v>671</v>
      </c>
      <c r="L34" s="52">
        <f>SUM(L2:L33)</f>
        <v>373</v>
      </c>
      <c r="M34" s="52">
        <f>SUM(M2:M26)</f>
        <v>153</v>
      </c>
      <c r="N34" s="52">
        <f>SUM(N2:N33)</f>
        <v>99</v>
      </c>
      <c r="O34" s="52">
        <f>SUM(O2:O33)</f>
        <v>174</v>
      </c>
      <c r="P34" s="52">
        <f t="shared" ref="P34:X34" si="1">SUM(P2:P24)</f>
        <v>1384.1</v>
      </c>
      <c r="Q34" s="52">
        <f t="shared" si="1"/>
        <v>2035.4428571400001</v>
      </c>
      <c r="R34" s="52">
        <f t="shared" si="1"/>
        <v>1016.8714285699999</v>
      </c>
      <c r="S34" s="52">
        <f t="shared" si="1"/>
        <v>2073.3571428599998</v>
      </c>
      <c r="T34" s="52">
        <f t="shared" si="1"/>
        <v>1053251</v>
      </c>
      <c r="U34" s="52">
        <f>SUM(U2:U33)</f>
        <v>128</v>
      </c>
      <c r="V34" s="52">
        <f t="shared" si="1"/>
        <v>0</v>
      </c>
      <c r="W34" s="52">
        <f t="shared" si="1"/>
        <v>0</v>
      </c>
      <c r="X34" s="43">
        <f t="shared" si="1"/>
        <v>0</v>
      </c>
    </row>
    <row r="35" spans="1:24" x14ac:dyDescent="0.35">
      <c r="H35" s="24"/>
      <c r="K35" s="25"/>
      <c r="P35" s="25"/>
      <c r="Q35" s="25"/>
      <c r="R35" s="25"/>
      <c r="S35" s="25"/>
    </row>
    <row r="36" spans="1:24" x14ac:dyDescent="0.35">
      <c r="E36" s="37"/>
      <c r="H36" s="24"/>
      <c r="J36" s="45"/>
      <c r="K36" s="37"/>
    </row>
    <row r="37" spans="1:24" x14ac:dyDescent="0.35">
      <c r="F37" s="37"/>
      <c r="G37" s="37"/>
      <c r="H37" s="24"/>
      <c r="J37" s="49"/>
      <c r="K37" s="37"/>
      <c r="L37" s="37"/>
      <c r="M37" s="37"/>
      <c r="P37" s="25"/>
      <c r="Q37" s="25"/>
      <c r="R37" s="25"/>
      <c r="S37" s="25"/>
    </row>
    <row r="38" spans="1:24" x14ac:dyDescent="0.35">
      <c r="F38" t="s">
        <v>44</v>
      </c>
      <c r="H38" s="25"/>
      <c r="J38" s="49"/>
      <c r="K38" s="46"/>
      <c r="L38" s="46"/>
      <c r="M38" s="37"/>
    </row>
    <row r="39" spans="1:24" x14ac:dyDescent="0.35">
      <c r="F39" s="37"/>
      <c r="J39" s="49"/>
      <c r="K39" s="53"/>
      <c r="L39" s="53"/>
      <c r="M39" s="53"/>
    </row>
    <row r="40" spans="1:24" x14ac:dyDescent="0.35">
      <c r="J40" s="49"/>
    </row>
    <row r="41" spans="1:24" x14ac:dyDescent="0.35">
      <c r="F41" s="37"/>
      <c r="H41" s="33"/>
      <c r="I41" s="33"/>
      <c r="J41" s="48"/>
      <c r="K41" s="47"/>
      <c r="L41" s="47"/>
      <c r="M41" s="33"/>
      <c r="N41" s="33"/>
      <c r="O41" s="33"/>
    </row>
    <row r="42" spans="1:24" x14ac:dyDescent="0.35">
      <c r="J42" s="49"/>
    </row>
    <row r="43" spans="1:24" x14ac:dyDescent="0.35">
      <c r="J43" s="49"/>
      <c r="K43" s="50"/>
      <c r="L43" s="50"/>
    </row>
    <row r="44" spans="1:24" x14ac:dyDescent="0.35">
      <c r="H44" s="35"/>
      <c r="I44" s="35"/>
      <c r="J44" s="49"/>
      <c r="K44" s="51"/>
      <c r="L44" s="51"/>
      <c r="M44" s="35"/>
      <c r="N44" s="35"/>
      <c r="O44" s="35"/>
    </row>
    <row r="45" spans="1:24" x14ac:dyDescent="0.35">
      <c r="G45" s="34"/>
      <c r="H45" s="34"/>
      <c r="I45" s="34"/>
      <c r="J45" s="34"/>
      <c r="K45" s="34"/>
      <c r="L45" s="34"/>
      <c r="M45" s="34"/>
      <c r="N45" s="34"/>
      <c r="O45" s="3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4016D-884C-45BD-8020-7052CEB941CF}">
  <sheetPr>
    <pageSetUpPr fitToPage="1"/>
  </sheetPr>
  <dimension ref="A1:Z17"/>
  <sheetViews>
    <sheetView showGridLines="0" tabSelected="1" view="pageBreakPreview" zoomScale="60" zoomScaleNormal="66" workbookViewId="0">
      <selection activeCell="P12" sqref="P12"/>
    </sheetView>
  </sheetViews>
  <sheetFormatPr baseColWidth="10" defaultRowHeight="14.5" x14ac:dyDescent="0.35"/>
  <cols>
    <col min="3" max="3" width="19.08984375" customWidth="1"/>
    <col min="8" max="8" width="13.1796875" customWidth="1"/>
    <col min="12" max="12" width="15" customWidth="1"/>
    <col min="13" max="13" width="14.36328125" customWidth="1"/>
    <col min="14" max="14" width="12.54296875" customWidth="1"/>
    <col min="17" max="17" width="12.453125" customWidth="1"/>
    <col min="20" max="20" width="15.36328125" customWidth="1"/>
    <col min="22" max="22" width="54.36328125" customWidth="1"/>
    <col min="23" max="23" width="0" hidden="1" customWidth="1"/>
    <col min="24" max="24" width="3.90625" hidden="1" customWidth="1"/>
    <col min="25" max="25" width="10.90625" hidden="1" customWidth="1"/>
    <col min="27" max="27" width="0.6328125" customWidth="1"/>
  </cols>
  <sheetData>
    <row r="1" spans="1:22" s="55" customFormat="1" ht="60.5" customHeight="1" x14ac:dyDescent="0.3">
      <c r="A1" s="56" t="s">
        <v>0</v>
      </c>
      <c r="B1" s="56" t="s">
        <v>36</v>
      </c>
      <c r="C1" s="56" t="s">
        <v>45</v>
      </c>
      <c r="D1" s="56" t="s">
        <v>1</v>
      </c>
      <c r="E1" s="56" t="s">
        <v>2</v>
      </c>
      <c r="F1" s="56" t="s">
        <v>3</v>
      </c>
      <c r="G1" s="56" t="s">
        <v>74</v>
      </c>
      <c r="H1" s="56" t="s">
        <v>46</v>
      </c>
      <c r="I1" s="56" t="s">
        <v>39</v>
      </c>
      <c r="J1" s="56" t="s">
        <v>4</v>
      </c>
      <c r="K1" s="56" t="s">
        <v>37</v>
      </c>
      <c r="L1" s="56" t="s">
        <v>38</v>
      </c>
      <c r="M1" s="57" t="s">
        <v>47</v>
      </c>
      <c r="N1" s="57" t="s">
        <v>48</v>
      </c>
      <c r="O1" s="57" t="s">
        <v>22</v>
      </c>
      <c r="P1" s="57" t="s">
        <v>49</v>
      </c>
      <c r="Q1" s="57" t="s">
        <v>50</v>
      </c>
      <c r="R1" s="56" t="s">
        <v>5</v>
      </c>
      <c r="S1" s="57" t="s">
        <v>51</v>
      </c>
      <c r="T1" s="56" t="s">
        <v>8</v>
      </c>
      <c r="U1" s="56" t="s">
        <v>6</v>
      </c>
      <c r="V1" s="56" t="s">
        <v>9</v>
      </c>
    </row>
    <row r="2" spans="1:22" s="65" customFormat="1" ht="17" customHeight="1" x14ac:dyDescent="0.35">
      <c r="A2" s="63" t="s">
        <v>52</v>
      </c>
      <c r="B2" s="63" t="s">
        <v>53</v>
      </c>
      <c r="C2" s="63" t="s">
        <v>54</v>
      </c>
      <c r="D2" s="63" t="s">
        <v>55</v>
      </c>
      <c r="E2" s="64">
        <v>45901</v>
      </c>
      <c r="F2" s="64">
        <v>45905</v>
      </c>
      <c r="G2" s="58">
        <v>15</v>
      </c>
      <c r="H2" s="58">
        <v>0</v>
      </c>
      <c r="I2" s="58">
        <v>0</v>
      </c>
      <c r="J2" s="58">
        <v>0</v>
      </c>
      <c r="K2" s="58">
        <v>0</v>
      </c>
      <c r="L2" s="58">
        <v>0</v>
      </c>
      <c r="M2" s="58">
        <v>0</v>
      </c>
      <c r="N2" s="58">
        <v>0</v>
      </c>
      <c r="O2" s="58">
        <v>0</v>
      </c>
      <c r="P2" s="59">
        <v>0.21</v>
      </c>
      <c r="Q2" s="59">
        <v>0.88</v>
      </c>
      <c r="R2" s="64">
        <v>45905</v>
      </c>
      <c r="S2" s="63">
        <v>10</v>
      </c>
      <c r="T2" s="63" t="s">
        <v>25</v>
      </c>
      <c r="U2" s="63" t="s">
        <v>25</v>
      </c>
      <c r="V2" s="63" t="s">
        <v>56</v>
      </c>
    </row>
    <row r="3" spans="1:22" s="65" customFormat="1" ht="17" customHeight="1" x14ac:dyDescent="0.35">
      <c r="A3" s="63" t="s">
        <v>52</v>
      </c>
      <c r="B3" s="63" t="s">
        <v>53</v>
      </c>
      <c r="C3" s="63" t="s">
        <v>63</v>
      </c>
      <c r="D3" s="63" t="s">
        <v>58</v>
      </c>
      <c r="E3" s="64">
        <v>45911</v>
      </c>
      <c r="F3" s="64">
        <v>45915</v>
      </c>
      <c r="G3" s="58">
        <v>17</v>
      </c>
      <c r="H3" s="58">
        <v>0</v>
      </c>
      <c r="I3" s="58">
        <v>76</v>
      </c>
      <c r="J3" s="58">
        <v>0</v>
      </c>
      <c r="K3" s="58">
        <v>0</v>
      </c>
      <c r="L3" s="58">
        <v>0</v>
      </c>
      <c r="M3" s="58">
        <v>0</v>
      </c>
      <c r="N3" s="58">
        <v>5</v>
      </c>
      <c r="O3" s="58">
        <v>0</v>
      </c>
      <c r="P3" s="60">
        <v>0.10400000000000001</v>
      </c>
      <c r="Q3" s="60">
        <v>0.752</v>
      </c>
      <c r="R3" s="64">
        <v>45915</v>
      </c>
      <c r="S3" s="63">
        <v>0</v>
      </c>
      <c r="T3" s="63" t="s">
        <v>25</v>
      </c>
      <c r="U3" s="63" t="s">
        <v>25</v>
      </c>
      <c r="V3" s="63"/>
    </row>
    <row r="4" spans="1:22" s="65" customFormat="1" ht="17" customHeight="1" x14ac:dyDescent="0.35">
      <c r="A4" s="63" t="s">
        <v>52</v>
      </c>
      <c r="B4" s="63" t="s">
        <v>53</v>
      </c>
      <c r="C4" s="63" t="s">
        <v>71</v>
      </c>
      <c r="D4" s="71" t="s">
        <v>70</v>
      </c>
      <c r="E4" s="70">
        <v>45971</v>
      </c>
      <c r="F4" s="70">
        <v>45976</v>
      </c>
      <c r="G4" s="58">
        <v>17</v>
      </c>
      <c r="H4" s="58">
        <v>0</v>
      </c>
      <c r="I4" s="58">
        <v>100</v>
      </c>
      <c r="J4" s="58">
        <v>0</v>
      </c>
      <c r="K4" s="58">
        <v>0</v>
      </c>
      <c r="L4" s="58">
        <v>0</v>
      </c>
      <c r="M4" s="58">
        <v>0</v>
      </c>
      <c r="N4" s="61">
        <v>0</v>
      </c>
      <c r="O4" s="61">
        <v>0</v>
      </c>
      <c r="P4" s="62">
        <v>0</v>
      </c>
      <c r="Q4" s="62">
        <v>0</v>
      </c>
      <c r="R4" s="70">
        <v>45976</v>
      </c>
      <c r="S4" s="63">
        <v>0</v>
      </c>
      <c r="T4" s="63" t="s">
        <v>25</v>
      </c>
      <c r="U4" s="63" t="s">
        <v>25</v>
      </c>
      <c r="V4" s="63"/>
    </row>
    <row r="5" spans="1:22" s="65" customFormat="1" ht="17" customHeight="1" x14ac:dyDescent="0.35">
      <c r="A5" s="63" t="s">
        <v>52</v>
      </c>
      <c r="B5" s="63" t="s">
        <v>53</v>
      </c>
      <c r="C5" s="63" t="s">
        <v>57</v>
      </c>
      <c r="D5" s="63" t="s">
        <v>58</v>
      </c>
      <c r="E5" s="64">
        <v>45901</v>
      </c>
      <c r="F5" s="64">
        <v>45905</v>
      </c>
      <c r="G5" s="58">
        <v>19</v>
      </c>
      <c r="H5" s="58">
        <v>0</v>
      </c>
      <c r="I5" s="58">
        <v>130</v>
      </c>
      <c r="J5" s="58">
        <v>0</v>
      </c>
      <c r="K5" s="58">
        <v>0</v>
      </c>
      <c r="L5" s="58">
        <v>0</v>
      </c>
      <c r="M5" s="58">
        <v>0</v>
      </c>
      <c r="N5" s="58">
        <v>5</v>
      </c>
      <c r="O5" s="58">
        <v>0</v>
      </c>
      <c r="P5" s="59">
        <v>0.1</v>
      </c>
      <c r="Q5" s="59">
        <v>0.7</v>
      </c>
      <c r="R5" s="64">
        <v>45905</v>
      </c>
      <c r="S5" s="63">
        <v>0</v>
      </c>
      <c r="T5" s="63" t="s">
        <v>25</v>
      </c>
      <c r="U5" s="63" t="s">
        <v>25</v>
      </c>
      <c r="V5" s="63"/>
    </row>
    <row r="6" spans="1:22" s="65" customFormat="1" ht="17" customHeight="1" x14ac:dyDescent="0.35">
      <c r="A6" s="63" t="s">
        <v>52</v>
      </c>
      <c r="B6" s="63" t="s">
        <v>53</v>
      </c>
      <c r="C6" s="63" t="s">
        <v>59</v>
      </c>
      <c r="D6" s="63" t="s">
        <v>58</v>
      </c>
      <c r="E6" s="64">
        <v>45901</v>
      </c>
      <c r="F6" s="64">
        <v>45905</v>
      </c>
      <c r="G6" s="58">
        <v>23</v>
      </c>
      <c r="H6" s="58">
        <v>0</v>
      </c>
      <c r="I6" s="58">
        <v>70</v>
      </c>
      <c r="J6" s="58">
        <v>0</v>
      </c>
      <c r="K6" s="58">
        <v>0</v>
      </c>
      <c r="L6" s="58">
        <v>0</v>
      </c>
      <c r="M6" s="58">
        <v>0</v>
      </c>
      <c r="N6" s="58">
        <v>5</v>
      </c>
      <c r="O6" s="58">
        <v>0</v>
      </c>
      <c r="P6" s="59">
        <v>2.6000000000000002E-2</v>
      </c>
      <c r="Q6" s="59">
        <v>0.91999999999999993</v>
      </c>
      <c r="R6" s="64">
        <v>45905</v>
      </c>
      <c r="S6" s="63">
        <v>0</v>
      </c>
      <c r="T6" s="63" t="s">
        <v>25</v>
      </c>
      <c r="U6" s="63" t="s">
        <v>25</v>
      </c>
      <c r="V6" s="63"/>
    </row>
    <row r="7" spans="1:22" s="65" customFormat="1" ht="17" customHeight="1" x14ac:dyDescent="0.35">
      <c r="A7" s="63" t="s">
        <v>52</v>
      </c>
      <c r="B7" s="63" t="s">
        <v>53</v>
      </c>
      <c r="C7" s="63" t="s">
        <v>60</v>
      </c>
      <c r="D7" s="63" t="s">
        <v>58</v>
      </c>
      <c r="E7" s="64">
        <v>45901</v>
      </c>
      <c r="F7" s="64">
        <v>45905</v>
      </c>
      <c r="G7" s="58">
        <v>8</v>
      </c>
      <c r="H7" s="58">
        <v>0</v>
      </c>
      <c r="I7" s="58">
        <v>164</v>
      </c>
      <c r="J7" s="58">
        <v>0</v>
      </c>
      <c r="K7" s="58">
        <v>0</v>
      </c>
      <c r="L7" s="58">
        <v>0</v>
      </c>
      <c r="M7" s="58">
        <v>0</v>
      </c>
      <c r="N7" s="58">
        <v>6</v>
      </c>
      <c r="O7" s="58">
        <v>0</v>
      </c>
      <c r="P7" s="59">
        <v>2.1666666666666667E-2</v>
      </c>
      <c r="Q7" s="59">
        <v>0.83333333333333337</v>
      </c>
      <c r="R7" s="64">
        <v>45905</v>
      </c>
      <c r="S7" s="63">
        <v>0</v>
      </c>
      <c r="T7" s="63" t="s">
        <v>25</v>
      </c>
      <c r="U7" s="63" t="s">
        <v>25</v>
      </c>
      <c r="V7" s="63"/>
    </row>
    <row r="8" spans="1:22" s="65" customFormat="1" ht="17" customHeight="1" x14ac:dyDescent="0.35">
      <c r="A8" s="63" t="s">
        <v>52</v>
      </c>
      <c r="B8" s="63" t="s">
        <v>53</v>
      </c>
      <c r="C8" s="63" t="s">
        <v>61</v>
      </c>
      <c r="D8" s="63" t="s">
        <v>58</v>
      </c>
      <c r="E8" s="64">
        <v>45901</v>
      </c>
      <c r="F8" s="64">
        <v>45905</v>
      </c>
      <c r="G8" s="58">
        <v>24</v>
      </c>
      <c r="H8" s="58">
        <v>0</v>
      </c>
      <c r="I8" s="58">
        <v>36</v>
      </c>
      <c r="J8" s="58">
        <v>0</v>
      </c>
      <c r="K8" s="58">
        <v>0</v>
      </c>
      <c r="L8" s="58">
        <v>0</v>
      </c>
      <c r="M8" s="58">
        <v>0</v>
      </c>
      <c r="N8" s="58">
        <v>5</v>
      </c>
      <c r="O8" s="58">
        <v>0</v>
      </c>
      <c r="P8" s="59">
        <v>0.126</v>
      </c>
      <c r="Q8" s="59">
        <v>0.752</v>
      </c>
      <c r="R8" s="64">
        <v>45905</v>
      </c>
      <c r="S8" s="63">
        <v>0</v>
      </c>
      <c r="T8" s="63" t="s">
        <v>25</v>
      </c>
      <c r="U8" s="63" t="s">
        <v>25</v>
      </c>
      <c r="V8" s="63"/>
    </row>
    <row r="9" spans="1:22" s="65" customFormat="1" ht="17" customHeight="1" x14ac:dyDescent="0.35">
      <c r="A9" s="63" t="s">
        <v>52</v>
      </c>
      <c r="B9" s="63" t="s">
        <v>53</v>
      </c>
      <c r="C9" s="63" t="s">
        <v>64</v>
      </c>
      <c r="D9" s="63" t="s">
        <v>58</v>
      </c>
      <c r="E9" s="64">
        <v>45911</v>
      </c>
      <c r="F9" s="64">
        <v>45915</v>
      </c>
      <c r="G9" s="58">
        <v>22</v>
      </c>
      <c r="H9" s="58">
        <v>0</v>
      </c>
      <c r="I9" s="58">
        <v>100</v>
      </c>
      <c r="J9" s="58">
        <v>0</v>
      </c>
      <c r="K9" s="58">
        <v>0</v>
      </c>
      <c r="L9" s="58">
        <v>0</v>
      </c>
      <c r="M9" s="58">
        <v>0</v>
      </c>
      <c r="N9" s="58">
        <v>6</v>
      </c>
      <c r="O9" s="58">
        <v>0</v>
      </c>
      <c r="P9" s="60">
        <v>0.21166666666666667</v>
      </c>
      <c r="Q9" s="60">
        <v>0.77333333333333343</v>
      </c>
      <c r="R9" s="64">
        <v>45915</v>
      </c>
      <c r="S9" s="63">
        <v>0</v>
      </c>
      <c r="T9" s="63" t="s">
        <v>25</v>
      </c>
      <c r="U9" s="63" t="s">
        <v>25</v>
      </c>
      <c r="V9" s="63"/>
    </row>
    <row r="10" spans="1:22" s="65" customFormat="1" ht="17" customHeight="1" x14ac:dyDescent="0.35">
      <c r="A10" s="63" t="s">
        <v>52</v>
      </c>
      <c r="B10" s="63" t="s">
        <v>53</v>
      </c>
      <c r="C10" s="63" t="s">
        <v>68</v>
      </c>
      <c r="D10" s="63" t="s">
        <v>58</v>
      </c>
      <c r="E10" s="64">
        <v>45918</v>
      </c>
      <c r="F10" s="64">
        <v>45922</v>
      </c>
      <c r="G10" s="58">
        <v>22</v>
      </c>
      <c r="H10" s="58">
        <v>0</v>
      </c>
      <c r="I10" s="58">
        <v>122</v>
      </c>
      <c r="J10" s="58">
        <v>0</v>
      </c>
      <c r="K10" s="58">
        <v>0</v>
      </c>
      <c r="L10" s="58">
        <v>0</v>
      </c>
      <c r="M10" s="58">
        <v>0</v>
      </c>
      <c r="N10" s="61">
        <v>5</v>
      </c>
      <c r="O10" s="58">
        <v>0</v>
      </c>
      <c r="P10" s="62">
        <v>0.17</v>
      </c>
      <c r="Q10" s="62">
        <v>0.7</v>
      </c>
      <c r="R10" s="64">
        <v>45922</v>
      </c>
      <c r="S10" s="63">
        <v>0</v>
      </c>
      <c r="T10" s="63" t="s">
        <v>25</v>
      </c>
      <c r="U10" s="63" t="s">
        <v>25</v>
      </c>
      <c r="V10" s="63"/>
    </row>
    <row r="11" spans="1:22" s="65" customFormat="1" ht="17" customHeight="1" x14ac:dyDescent="0.35">
      <c r="A11" s="63" t="s">
        <v>52</v>
      </c>
      <c r="B11" s="63" t="s">
        <v>53</v>
      </c>
      <c r="C11" s="63" t="s">
        <v>65</v>
      </c>
      <c r="D11" s="63" t="s">
        <v>58</v>
      </c>
      <c r="E11" s="64">
        <v>45911</v>
      </c>
      <c r="F11" s="64">
        <v>45915</v>
      </c>
      <c r="G11" s="58">
        <v>24</v>
      </c>
      <c r="H11" s="58">
        <v>0</v>
      </c>
      <c r="I11" s="58">
        <v>116</v>
      </c>
      <c r="J11" s="58">
        <v>0</v>
      </c>
      <c r="K11" s="58">
        <v>0</v>
      </c>
      <c r="L11" s="58">
        <v>0</v>
      </c>
      <c r="M11" s="58">
        <v>0</v>
      </c>
      <c r="N11" s="58">
        <v>5</v>
      </c>
      <c r="O11" s="58">
        <v>0</v>
      </c>
      <c r="P11" s="60">
        <v>0.14000000000000001</v>
      </c>
      <c r="Q11" s="60">
        <v>0.8</v>
      </c>
      <c r="R11" s="64">
        <v>45915</v>
      </c>
      <c r="S11" s="63">
        <v>0</v>
      </c>
      <c r="T11" s="63" t="s">
        <v>25</v>
      </c>
      <c r="U11" s="63" t="s">
        <v>25</v>
      </c>
      <c r="V11" s="63"/>
    </row>
    <row r="12" spans="1:22" s="65" customFormat="1" ht="17" customHeight="1" x14ac:dyDescent="0.35">
      <c r="A12" s="63" t="s">
        <v>52</v>
      </c>
      <c r="B12" s="63" t="s">
        <v>53</v>
      </c>
      <c r="C12" s="63" t="s">
        <v>72</v>
      </c>
      <c r="D12" s="71" t="s">
        <v>70</v>
      </c>
      <c r="E12" s="70">
        <v>45971</v>
      </c>
      <c r="F12" s="70">
        <v>45976</v>
      </c>
      <c r="G12" s="58">
        <v>16</v>
      </c>
      <c r="H12" s="58">
        <v>0</v>
      </c>
      <c r="I12" s="58">
        <v>106</v>
      </c>
      <c r="J12" s="58">
        <v>0</v>
      </c>
      <c r="K12" s="58">
        <v>0</v>
      </c>
      <c r="L12" s="58">
        <v>0</v>
      </c>
      <c r="M12" s="58">
        <v>0</v>
      </c>
      <c r="N12" s="61">
        <v>0</v>
      </c>
      <c r="O12" s="61">
        <v>0</v>
      </c>
      <c r="P12" s="62">
        <v>0</v>
      </c>
      <c r="Q12" s="62">
        <v>0</v>
      </c>
      <c r="R12" s="70">
        <v>45976</v>
      </c>
      <c r="S12" s="63">
        <v>0</v>
      </c>
      <c r="T12" s="63" t="s">
        <v>25</v>
      </c>
      <c r="U12" s="63" t="s">
        <v>25</v>
      </c>
      <c r="V12" s="63"/>
    </row>
    <row r="13" spans="1:22" s="65" customFormat="1" ht="17" customHeight="1" x14ac:dyDescent="0.35">
      <c r="A13" s="63" t="s">
        <v>52</v>
      </c>
      <c r="B13" s="63" t="s">
        <v>53</v>
      </c>
      <c r="C13" s="63" t="s">
        <v>69</v>
      </c>
      <c r="D13" s="71" t="s">
        <v>70</v>
      </c>
      <c r="E13" s="70">
        <v>45971</v>
      </c>
      <c r="F13" s="70">
        <v>45976</v>
      </c>
      <c r="G13" s="58">
        <v>14</v>
      </c>
      <c r="H13" s="58">
        <v>0</v>
      </c>
      <c r="I13" s="58">
        <v>50</v>
      </c>
      <c r="J13" s="58">
        <v>0</v>
      </c>
      <c r="K13" s="58">
        <v>0</v>
      </c>
      <c r="L13" s="58">
        <v>0</v>
      </c>
      <c r="M13" s="58">
        <v>0</v>
      </c>
      <c r="N13" s="61">
        <v>0</v>
      </c>
      <c r="O13" s="61">
        <v>0</v>
      </c>
      <c r="P13" s="62">
        <v>0</v>
      </c>
      <c r="Q13" s="62">
        <v>0</v>
      </c>
      <c r="R13" s="70">
        <v>45976</v>
      </c>
      <c r="S13" s="63">
        <v>0</v>
      </c>
      <c r="T13" s="63" t="s">
        <v>25</v>
      </c>
      <c r="U13" s="63" t="s">
        <v>25</v>
      </c>
      <c r="V13" s="63"/>
    </row>
    <row r="14" spans="1:22" s="65" customFormat="1" ht="17" customHeight="1" x14ac:dyDescent="0.35">
      <c r="A14" s="63" t="s">
        <v>52</v>
      </c>
      <c r="B14" s="63" t="s">
        <v>53</v>
      </c>
      <c r="C14" s="63" t="s">
        <v>67</v>
      </c>
      <c r="D14" s="63" t="s">
        <v>58</v>
      </c>
      <c r="E14" s="64">
        <v>45918</v>
      </c>
      <c r="F14" s="64">
        <v>45922</v>
      </c>
      <c r="G14" s="58">
        <v>13</v>
      </c>
      <c r="H14" s="58">
        <v>0</v>
      </c>
      <c r="I14" s="58">
        <v>50</v>
      </c>
      <c r="J14" s="58">
        <v>0</v>
      </c>
      <c r="K14" s="58">
        <v>0</v>
      </c>
      <c r="L14" s="58">
        <v>0</v>
      </c>
      <c r="M14" s="58">
        <v>0</v>
      </c>
      <c r="N14" s="61">
        <v>5</v>
      </c>
      <c r="O14" s="58">
        <v>0</v>
      </c>
      <c r="P14" s="62">
        <v>0.1012</v>
      </c>
      <c r="Q14" s="62">
        <v>0.875</v>
      </c>
      <c r="R14" s="64">
        <v>45922</v>
      </c>
      <c r="S14" s="63">
        <v>0</v>
      </c>
      <c r="T14" s="63" t="s">
        <v>25</v>
      </c>
      <c r="U14" s="63" t="s">
        <v>25</v>
      </c>
      <c r="V14" s="63"/>
    </row>
    <row r="15" spans="1:22" s="65" customFormat="1" ht="17" customHeight="1" x14ac:dyDescent="0.35">
      <c r="A15" s="63" t="s">
        <v>52</v>
      </c>
      <c r="B15" s="63" t="s">
        <v>53</v>
      </c>
      <c r="C15" s="63" t="s">
        <v>66</v>
      </c>
      <c r="D15" s="63" t="s">
        <v>58</v>
      </c>
      <c r="E15" s="64">
        <v>45911</v>
      </c>
      <c r="F15" s="64">
        <v>45915</v>
      </c>
      <c r="G15" s="58">
        <v>11</v>
      </c>
      <c r="H15" s="58">
        <v>0</v>
      </c>
      <c r="I15" s="58">
        <v>80</v>
      </c>
      <c r="J15" s="58">
        <v>0</v>
      </c>
      <c r="K15" s="58">
        <v>0</v>
      </c>
      <c r="L15" s="58">
        <v>0</v>
      </c>
      <c r="M15" s="58">
        <v>0</v>
      </c>
      <c r="N15" s="58">
        <v>6</v>
      </c>
      <c r="O15" s="58">
        <v>0</v>
      </c>
      <c r="P15" s="60">
        <v>0.115</v>
      </c>
      <c r="Q15" s="60">
        <v>0.87666666666666659</v>
      </c>
      <c r="R15" s="64">
        <v>45915</v>
      </c>
      <c r="S15" s="63">
        <v>0</v>
      </c>
      <c r="T15" s="63" t="s">
        <v>25</v>
      </c>
      <c r="U15" s="63" t="s">
        <v>25</v>
      </c>
      <c r="V15" s="63"/>
    </row>
    <row r="16" spans="1:22" s="65" customFormat="1" ht="17" customHeight="1" x14ac:dyDescent="0.35">
      <c r="A16" s="63" t="s">
        <v>52</v>
      </c>
      <c r="B16" s="67" t="s">
        <v>53</v>
      </c>
      <c r="C16" s="67" t="s">
        <v>62</v>
      </c>
      <c r="D16" s="67" t="s">
        <v>58</v>
      </c>
      <c r="E16" s="69">
        <v>45901</v>
      </c>
      <c r="F16" s="69">
        <v>45905</v>
      </c>
      <c r="G16" s="69"/>
      <c r="H16" s="58">
        <v>0</v>
      </c>
      <c r="I16" s="58">
        <v>162</v>
      </c>
      <c r="J16" s="58">
        <v>0</v>
      </c>
      <c r="K16" s="58">
        <v>0</v>
      </c>
      <c r="L16" s="58">
        <v>0</v>
      </c>
      <c r="M16" s="58">
        <v>0</v>
      </c>
      <c r="N16" s="58">
        <v>6</v>
      </c>
      <c r="O16" s="58">
        <v>0</v>
      </c>
      <c r="P16" s="59">
        <v>0.16666666666666666</v>
      </c>
      <c r="Q16" s="59">
        <v>0.98</v>
      </c>
      <c r="R16" s="64">
        <v>45905</v>
      </c>
      <c r="S16" s="63">
        <v>0</v>
      </c>
      <c r="T16" s="63" t="s">
        <v>25</v>
      </c>
      <c r="U16" s="63" t="s">
        <v>25</v>
      </c>
      <c r="V16" s="63"/>
    </row>
    <row r="17" spans="1:22" s="65" customFormat="1" ht="17" customHeight="1" x14ac:dyDescent="0.35">
      <c r="A17" s="66" t="s">
        <v>73</v>
      </c>
      <c r="B17" s="68"/>
      <c r="C17" s="68"/>
      <c r="D17" s="68"/>
      <c r="E17" s="68"/>
      <c r="F17" s="68"/>
      <c r="G17" s="68"/>
      <c r="H17" s="72">
        <f>SUM(H2:H16)</f>
        <v>0</v>
      </c>
      <c r="I17" s="72">
        <f t="shared" ref="I17:M17" si="0">SUM(I2:I16)</f>
        <v>1362</v>
      </c>
      <c r="J17" s="72">
        <f t="shared" si="0"/>
        <v>0</v>
      </c>
      <c r="K17" s="72">
        <f t="shared" si="0"/>
        <v>0</v>
      </c>
      <c r="L17" s="72">
        <f t="shared" si="0"/>
        <v>0</v>
      </c>
      <c r="M17" s="72">
        <f t="shared" si="0"/>
        <v>0</v>
      </c>
      <c r="N17" s="72">
        <f>SUM(N2:N16)</f>
        <v>59</v>
      </c>
      <c r="O17" s="72">
        <f>SUM(O3:O16)</f>
        <v>0</v>
      </c>
      <c r="P17" s="73">
        <f>AVERAGE(P2:P16)</f>
        <v>9.9480000000000013E-2</v>
      </c>
      <c r="Q17" s="73">
        <f>AVERAGE(Q2:Q16)</f>
        <v>0.65615555555555549</v>
      </c>
      <c r="R17" s="63"/>
      <c r="S17" s="63"/>
      <c r="T17" s="63"/>
      <c r="U17" s="63"/>
      <c r="V17" s="63"/>
    </row>
  </sheetData>
  <autoFilter ref="A1:V16" xr:uid="{EBEB21C1-A2E9-469D-9766-B35E2E6A5A6C}">
    <sortState xmlns:xlrd2="http://schemas.microsoft.com/office/spreadsheetml/2017/richdata2" ref="A2:V17">
      <sortCondition ref="C1:C16"/>
    </sortState>
  </autoFilter>
  <pageMargins left="0.7" right="0.7" top="0.75" bottom="0.75" header="0.3" footer="0.3"/>
  <pageSetup scale="27" orientation="portrait" r:id="rId1"/>
  <ignoredErrors>
    <ignoredError sqref="O17" formulaRange="1"/>
  </ignoredError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B3CDB58EC65B40A02B6218FE28A0D6" ma:contentTypeVersion="13" ma:contentTypeDescription="Create a new document." ma:contentTypeScope="" ma:versionID="74bbd6f0e4dc2007ac03f919b9b6cc83">
  <xsd:schema xmlns:xsd="http://www.w3.org/2001/XMLSchema" xmlns:xs="http://www.w3.org/2001/XMLSchema" xmlns:p="http://schemas.microsoft.com/office/2006/metadata/properties" xmlns:ns1="http://schemas.microsoft.com/sharepoint/v3" xmlns:ns3="74ad25d1-5761-47a8-927c-955cb432fed0" targetNamespace="http://schemas.microsoft.com/office/2006/metadata/properties" ma:root="true" ma:fieldsID="b8843b1679cf3a4d2b8b77cd98781c6a" ns1:_="" ns3:_="">
    <xsd:import namespace="http://schemas.microsoft.com/sharepoint/v3"/>
    <xsd:import namespace="74ad25d1-5761-47a8-927c-955cb432fed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_activity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d25d1-5761-47a8-927c-955cb432fed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74ad25d1-5761-47a8-927c-955cb432fed0" xsi:nil="true"/>
  </documentManagement>
</p:properties>
</file>

<file path=customXml/itemProps1.xml><?xml version="1.0" encoding="utf-8"?>
<ds:datastoreItem xmlns:ds="http://schemas.openxmlformats.org/officeDocument/2006/customXml" ds:itemID="{AE5A257D-1CA3-44B8-AEF7-DA06FFA7E52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9C5C79-ED8D-4738-A207-E0045E587D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4ad25d1-5761-47a8-927c-955cb432fe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DEA1B1D-819B-422F-A725-071055C0C0F4}">
  <ds:schemaRefs>
    <ds:schemaRef ds:uri="http://www.w3.org/XML/1998/namespace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sharepoint/v3"/>
    <ds:schemaRef ds:uri="http://schemas.microsoft.com/office/2006/metadata/properties"/>
    <ds:schemaRef ds:uri="http://schemas.microsoft.com/office/infopath/2007/PartnerControls"/>
    <ds:schemaRef ds:uri="74ad25d1-5761-47a8-927c-955cb432fed0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Aggregates_ICCM_training_RHCC</vt:lpstr>
      <vt:lpstr>Aggregates_ICCM_training_RH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Beasley</dc:creator>
  <cp:lastModifiedBy>Cédric Aganze nkonzi</cp:lastModifiedBy>
  <dcterms:created xsi:type="dcterms:W3CDTF">2025-05-09T16:24:24Z</dcterms:created>
  <dcterms:modified xsi:type="dcterms:W3CDTF">2025-10-24T17:15:54Z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0x0101000CB3CDB58EC65B40A02B6218FE28A0D6</vt:lpwstr>
  </property>
  <property fmtid="{D5CDD505-2E9C-101B-9397-08002B2CF9AE}" pid="3" name="MediaServiceImageTags">
    <vt:lpwstr/>
  </property>
</Properties>
</file>