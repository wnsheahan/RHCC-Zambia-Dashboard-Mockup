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rinterSettings/printerSettings1.bin" ContentType="application/vnd.openxmlformats-officedocument.spreadsheetml.printerSettings"/>
  <Override PartName="/xl/drawings/drawing2.xml" ContentType="application/vnd.openxmlformats-officedocument.drawing+xml"/>
  <Override PartName="/xl/comments2.xml" ContentType="application/vnd.openxmlformats-officedocument.spreadsheetml.comments+xml"/>
  <Override PartName="/xl/printerSettings/printerSettings2.bin" ContentType="application/vnd.openxmlformats-officedocument.spreadsheetml.printerSettings"/>
  <Override PartName="/xl/drawings/drawing3.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api.box.com/wopi/files/1993692861497/WOPIServiceId_TP_BOX_2/WOPIUserId_-/"/>
    </mc:Choice>
  </mc:AlternateContent>
  <xr:revisionPtr revIDLastSave="27" documentId="13_ncr:1_{A31CE262-D085-48FA-A684-676297C26AB8}" xr6:coauthVersionLast="47" xr6:coauthVersionMax="47" xr10:uidLastSave="{EC3B1373-4ED3-4901-96ED-A766759E805D}"/>
  <bookViews>
    <workbookView xWindow="120" yWindow="720" windowWidth="23085" windowHeight="19200" activeTab="1" xr2:uid="{00000000-000D-0000-FFFF-FFFF00000000}"/>
  </bookViews>
  <sheets>
    <sheet name="M&amp;E plan information" sheetId="6" r:id="rId1"/>
    <sheet name="M&amp;E plan_All Sites" sheetId="3" r:id="rId2"/>
    <sheet name="Results framework_New" sheetId="15" r:id="rId3"/>
  </sheets>
  <definedNames>
    <definedName name="_xlnm.Print_Area" localSheetId="1">'M&amp;E plan_All Sites'!$A$6:$O$68</definedName>
    <definedName name="_xlnm.Print_Area" localSheetId="2">'Results framework_New'!$A$6:$N$68</definedName>
    <definedName name="_xlnm.Print_Titles" localSheetId="1">'M&amp;E plan_All Sites'!$7:$7</definedName>
    <definedName name="_xlnm.Print_Titles" localSheetId="2">'Results framework_New'!$7:$7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2" i="3" l="1"/>
  <c r="K44" i="3"/>
  <c r="K43" i="3"/>
  <c r="J65" i="15"/>
  <c r="J57" i="15"/>
  <c r="J56" i="15"/>
  <c r="F17" i="15"/>
  <c r="F16" i="15"/>
  <c r="F15" i="15"/>
  <c r="F14" i="15"/>
  <c r="F13" i="15"/>
  <c r="F12" i="15"/>
  <c r="F11" i="15"/>
  <c r="F10" i="15"/>
  <c r="F9" i="15"/>
  <c r="K56" i="3" l="1"/>
  <c r="K5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tc={CDACF8E6-714C-4375-96A0-D24319FBBA3D}</author>
  </authors>
  <commentList>
    <comment ref="B2" authorId="0" shapeId="0" xr:uid="{00000000-0006-0000-0200-000001000000}">
      <text>
        <t xml:space="preserve">[Threaded comment]
Your version of Excel allows you to read this threaded comment; however, any edits to it will get removed if the file is opened in a newer version of Excel. Learn more: https://go.microsoft.com/fwlink/?linkid=870924
Comment:
    What else is useful to know?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Wongani Zulu</author>
  </authors>
  <commentList>
    <comment ref="G18" authorId="0" shapeId="0" xr:uid="{00000000-0006-0000-0100-000001000000}">
      <text>
        <r>
          <rPr>
            <b/>
            <sz val="9"/>
            <color indexed="81"/>
            <rFont val="Tahoma"/>
            <family val="2"/>
          </rPr>
          <t>Wongani Zulu:</t>
        </r>
        <r>
          <rPr>
            <sz val="9"/>
            <color indexed="81"/>
            <rFont val="Tahoma"/>
            <family val="2"/>
          </rPr>
          <t xml:space="preserve">
No CHWs have been trained yet</t>
        </r>
      </text>
    </comment>
    <comment ref="G23" authorId="0" shapeId="0" xr:uid="{00000000-0006-0000-0100-000002000000}">
      <text>
        <r>
          <rPr>
            <b/>
            <sz val="9"/>
            <color indexed="81"/>
            <rFont val="Tahoma"/>
            <family val="2"/>
          </rPr>
          <t>Wongani Zulu:</t>
        </r>
        <r>
          <rPr>
            <sz val="9"/>
            <color indexed="81"/>
            <rFont val="Tahoma"/>
            <family val="2"/>
          </rPr>
          <t xml:space="preserve">
No CHWs have been trained yet</t>
        </r>
      </text>
    </comment>
    <comment ref="G25" authorId="0" shapeId="0" xr:uid="{00000000-0006-0000-0100-000003000000}">
      <text>
        <r>
          <rPr>
            <b/>
            <sz val="9"/>
            <color indexed="81"/>
            <rFont val="Tahoma"/>
            <family val="2"/>
          </rPr>
          <t>Wongani Zulu:</t>
        </r>
        <r>
          <rPr>
            <sz val="9"/>
            <color indexed="81"/>
            <rFont val="Tahoma"/>
            <family val="2"/>
          </rPr>
          <t xml:space="preserve">
TBD</t>
        </r>
      </text>
    </comment>
    <comment ref="L25" authorId="0" shapeId="0" xr:uid="{00000000-0006-0000-0100-000004000000}">
      <text>
        <r>
          <rPr>
            <b/>
            <sz val="9"/>
            <color indexed="81"/>
            <rFont val="Tahoma"/>
            <family val="2"/>
          </rPr>
          <t>Wongani Zulu:</t>
        </r>
        <r>
          <rPr>
            <sz val="9"/>
            <color indexed="81"/>
            <rFont val="Tahoma"/>
            <family val="2"/>
          </rPr>
          <t xml:space="preserve">
Assumes non-malarial diseases will be added to Malaria Rapid Reporting System</t>
        </r>
      </text>
    </comment>
    <comment ref="G38" authorId="0" shapeId="0" xr:uid="{00000000-0006-0000-0100-000009000000}">
      <text>
        <r>
          <rPr>
            <b/>
            <sz val="9"/>
            <color indexed="81"/>
            <rFont val="Tahoma"/>
            <family val="2"/>
          </rPr>
          <t>Wongani Zulu:</t>
        </r>
        <r>
          <rPr>
            <sz val="9"/>
            <color indexed="81"/>
            <rFont val="Tahoma"/>
            <family val="2"/>
          </rPr>
          <t xml:space="preserve">
No iCCM+-trained CHWs exist yet</t>
        </r>
      </text>
    </comment>
    <comment ref="L38" authorId="0" shapeId="0" xr:uid="{00000000-0006-0000-0100-00000A000000}">
      <text>
        <r>
          <rPr>
            <b/>
            <sz val="9"/>
            <color indexed="81"/>
            <rFont val="Tahoma"/>
            <family val="2"/>
          </rPr>
          <t>Wongani Zulu:</t>
        </r>
        <r>
          <rPr>
            <sz val="9"/>
            <color indexed="81"/>
            <rFont val="Tahoma"/>
            <family val="2"/>
          </rPr>
          <t xml:space="preserve">
Assumes non-malarial diseases will be added to Malaria Rapid Reporting System</t>
        </r>
      </text>
    </comment>
    <comment ref="N38" authorId="0" shapeId="0" xr:uid="{00000000-0006-0000-0100-00000B000000}">
      <text>
        <r>
          <rPr>
            <b/>
            <sz val="9"/>
            <color indexed="81"/>
            <rFont val="Tahoma"/>
            <family val="2"/>
          </rPr>
          <t>Wongani Zulu:</t>
        </r>
        <r>
          <rPr>
            <sz val="9"/>
            <color indexed="81"/>
            <rFont val="Tahoma"/>
            <family val="2"/>
          </rPr>
          <t xml:space="preserve">
To only be reported when data is collected</t>
        </r>
      </text>
    </comment>
    <comment ref="K64" authorId="0" shapeId="0" xr:uid="{00000000-0006-0000-0100-00000C000000}">
      <text>
        <r>
          <rPr>
            <b/>
            <sz val="9"/>
            <color indexed="81"/>
            <rFont val="Tahoma"/>
            <family val="2"/>
          </rPr>
          <t>Wongani Zulu:</t>
        </r>
        <r>
          <rPr>
            <sz val="9"/>
            <color indexed="81"/>
            <rFont val="Tahoma"/>
            <family val="2"/>
          </rPr>
          <t xml:space="preserve">
All supervisors assigned to mentor CHWs in iCCM+ should have been trained prior to their assignement as supervisors</t>
        </r>
      </text>
    </comment>
    <comment ref="G68" authorId="0" shapeId="0" xr:uid="{00000000-0006-0000-0100-00000D000000}">
      <text>
        <r>
          <rPr>
            <b/>
            <sz val="9"/>
            <color indexed="81"/>
            <rFont val="Tahoma"/>
            <family val="2"/>
          </rPr>
          <t>Wongani Zulu:</t>
        </r>
        <r>
          <rPr>
            <sz val="9"/>
            <color indexed="81"/>
            <rFont val="Tahoma"/>
            <family val="2"/>
          </rPr>
          <t xml:space="preserve">
Yet to be determined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Wongani Zulu</author>
  </authors>
  <commentList>
    <comment ref="F18" authorId="0" shapeId="0" xr:uid="{E46B3348-675B-4638-8C37-51A01B850353}">
      <text>
        <r>
          <rPr>
            <b/>
            <sz val="9"/>
            <color indexed="81"/>
            <rFont val="Tahoma"/>
            <family val="2"/>
          </rPr>
          <t>Wongani Zulu:</t>
        </r>
        <r>
          <rPr>
            <sz val="9"/>
            <color indexed="81"/>
            <rFont val="Tahoma"/>
            <family val="2"/>
          </rPr>
          <t xml:space="preserve">
No CHWs have been trained yet</t>
        </r>
      </text>
    </comment>
    <comment ref="F23" authorId="0" shapeId="0" xr:uid="{CC302C13-F72F-4BCA-89DD-EDBB5874BB6C}">
      <text>
        <r>
          <rPr>
            <b/>
            <sz val="9"/>
            <color indexed="81"/>
            <rFont val="Tahoma"/>
            <family val="2"/>
          </rPr>
          <t>Wongani Zulu:</t>
        </r>
        <r>
          <rPr>
            <sz val="9"/>
            <color indexed="81"/>
            <rFont val="Tahoma"/>
            <family val="2"/>
          </rPr>
          <t xml:space="preserve">
No CHWs have been trained yet</t>
        </r>
      </text>
    </comment>
    <comment ref="D25" authorId="0" shapeId="0" xr:uid="{0F9F5B59-9BF2-48C8-948E-07567AFECDC1}">
      <text>
        <r>
          <rPr>
            <b/>
            <sz val="9"/>
            <color indexed="81"/>
            <rFont val="Tahoma"/>
            <family val="2"/>
          </rPr>
          <t>Wongani Zulu:</t>
        </r>
        <r>
          <rPr>
            <sz val="9"/>
            <color indexed="81"/>
            <rFont val="Tahoma"/>
            <family val="2"/>
          </rPr>
          <t xml:space="preserve">
Assumes non-malarial diseases will be added to Malaria Rapid Reporting System</t>
        </r>
      </text>
    </comment>
    <comment ref="F25" authorId="0" shapeId="0" xr:uid="{6D0571CD-0B67-4DB7-A2ED-D249AD94DD58}">
      <text>
        <r>
          <rPr>
            <b/>
            <sz val="9"/>
            <color indexed="81"/>
            <rFont val="Tahoma"/>
            <family val="2"/>
          </rPr>
          <t>Wongani Zulu:</t>
        </r>
        <r>
          <rPr>
            <sz val="9"/>
            <color indexed="81"/>
            <rFont val="Tahoma"/>
            <family val="2"/>
          </rPr>
          <t xml:space="preserve">
TBD</t>
        </r>
      </text>
    </comment>
    <comment ref="K25" authorId="0" shapeId="0" xr:uid="{DEA0B1BB-2460-4A4E-A00B-A884146DC019}">
      <text>
        <r>
          <rPr>
            <b/>
            <sz val="9"/>
            <color indexed="81"/>
            <rFont val="Tahoma"/>
            <family val="2"/>
          </rPr>
          <t>Wongani Zulu:</t>
        </r>
        <r>
          <rPr>
            <sz val="9"/>
            <color indexed="81"/>
            <rFont val="Tahoma"/>
            <family val="2"/>
          </rPr>
          <t xml:space="preserve">
Assumes non-malarial diseases will be added to Malaria Rapid Reporting System</t>
        </r>
      </text>
    </comment>
    <comment ref="D38" authorId="0" shapeId="0" xr:uid="{1E04F115-64DF-45B2-88AA-0ADE4ECD5A3A}">
      <text>
        <r>
          <rPr>
            <b/>
            <sz val="9"/>
            <color indexed="81"/>
            <rFont val="Tahoma"/>
            <family val="2"/>
          </rPr>
          <t>Wongani Zulu:</t>
        </r>
        <r>
          <rPr>
            <sz val="9"/>
            <color indexed="81"/>
            <rFont val="Tahoma"/>
            <family val="2"/>
          </rPr>
          <t xml:space="preserve">
Assumes non-malarial diseases will be added to Malaria Rapid Reporting System</t>
        </r>
      </text>
    </comment>
    <comment ref="F38" authorId="0" shapeId="0" xr:uid="{FB9D71F4-9E25-4010-9CD1-A6D5A7EDC3C8}">
      <text>
        <r>
          <rPr>
            <b/>
            <sz val="9"/>
            <color indexed="81"/>
            <rFont val="Tahoma"/>
            <family val="2"/>
          </rPr>
          <t>Wongani Zulu:</t>
        </r>
        <r>
          <rPr>
            <sz val="9"/>
            <color indexed="81"/>
            <rFont val="Tahoma"/>
            <family val="2"/>
          </rPr>
          <t xml:space="preserve">
No iCCM+-trained CHWs exist yet</t>
        </r>
      </text>
    </comment>
    <comment ref="K38" authorId="0" shapeId="0" xr:uid="{6A2C21F9-1611-4E02-8CF3-3674AE403C0B}">
      <text>
        <r>
          <rPr>
            <b/>
            <sz val="9"/>
            <color indexed="81"/>
            <rFont val="Tahoma"/>
            <family val="2"/>
          </rPr>
          <t>Wongani Zulu:</t>
        </r>
        <r>
          <rPr>
            <sz val="9"/>
            <color indexed="81"/>
            <rFont val="Tahoma"/>
            <family val="2"/>
          </rPr>
          <t xml:space="preserve">
Assumes non-malarial diseases will be added to Malaria Rapid Reporting System</t>
        </r>
      </text>
    </comment>
    <comment ref="M38" authorId="0" shapeId="0" xr:uid="{80B6FE3B-E7D4-41A5-9946-D3BD757F622B}">
      <text>
        <r>
          <rPr>
            <b/>
            <sz val="9"/>
            <color indexed="81"/>
            <rFont val="Tahoma"/>
            <family val="2"/>
          </rPr>
          <t>Wongani Zulu:</t>
        </r>
        <r>
          <rPr>
            <sz val="9"/>
            <color indexed="81"/>
            <rFont val="Tahoma"/>
            <family val="2"/>
          </rPr>
          <t xml:space="preserve">
To only be reported when data is collected</t>
        </r>
      </text>
    </comment>
    <comment ref="J64" authorId="0" shapeId="0" xr:uid="{26AEFC22-9F5E-42D5-BE64-6A9E14BD4DD1}">
      <text>
        <r>
          <rPr>
            <b/>
            <sz val="9"/>
            <color indexed="81"/>
            <rFont val="Tahoma"/>
            <family val="2"/>
          </rPr>
          <t>Wongani Zulu:</t>
        </r>
        <r>
          <rPr>
            <sz val="9"/>
            <color indexed="81"/>
            <rFont val="Tahoma"/>
            <family val="2"/>
          </rPr>
          <t xml:space="preserve">
All supervisors assigned to mentor CHWs in iCCM+ should have been trained prior to their assignement as supervisors</t>
        </r>
      </text>
    </comment>
    <comment ref="F68" authorId="0" shapeId="0" xr:uid="{BE7973F8-E79C-4F49-8D0D-FEA4BD253373}">
      <text>
        <r>
          <rPr>
            <b/>
            <sz val="9"/>
            <color indexed="81"/>
            <rFont val="Tahoma"/>
            <family val="2"/>
          </rPr>
          <t>Wongani Zulu:</t>
        </r>
        <r>
          <rPr>
            <sz val="9"/>
            <color indexed="81"/>
            <rFont val="Tahoma"/>
            <family val="2"/>
          </rPr>
          <t xml:space="preserve">
Yet to be determined</t>
        </r>
      </text>
    </comment>
    <comment ref="F72" authorId="0" shapeId="0" xr:uid="{49CFF5A1-1CC1-443D-B648-F409142AF30B}">
      <text>
        <r>
          <rPr>
            <b/>
            <sz val="9"/>
            <color indexed="81"/>
            <rFont val="Tahoma"/>
            <family val="2"/>
          </rPr>
          <t>Wongani Zulu:</t>
        </r>
        <r>
          <rPr>
            <sz val="9"/>
            <color indexed="81"/>
            <rFont val="Tahoma"/>
            <family val="2"/>
          </rPr>
          <t xml:space="preserve">
Yet to be determined</t>
        </r>
      </text>
    </comment>
  </commentList>
</comments>
</file>

<file path=xl/sharedStrings.xml><?xml version="1.0" encoding="utf-8"?>
<sst xmlns="http://schemas.openxmlformats.org/spreadsheetml/2006/main" count="1218" uniqueCount="341">
  <si>
    <t xml:space="preserve">DESCRIPTION </t>
  </si>
  <si>
    <t>Expected Results: 
Add/delete outcome and output lines as relevant to your program</t>
  </si>
  <si>
    <t>Indicator*</t>
  </si>
  <si>
    <t>Data Source*</t>
  </si>
  <si>
    <t>Data collection method(s)*</t>
  </si>
  <si>
    <t>Reporting frequency*</t>
  </si>
  <si>
    <t>Responsibility for data collection*</t>
  </si>
  <si>
    <t>Mortality rate</t>
  </si>
  <si>
    <t>- National HMIS database
- Facility registers/reports</t>
  </si>
  <si>
    <t>Extraction from HMIS</t>
  </si>
  <si>
    <t>Semi-annually</t>
  </si>
  <si>
    <t>- National HMIS database
- National DHIS2 database
- Faciity registers
- CHW registers</t>
  </si>
  <si>
    <t>Extraction from HMIS/DHIS2</t>
  </si>
  <si>
    <t>- National DHIS2 database
- National HMIS database</t>
  </si>
  <si>
    <t># of CHWs selected with community involvement</t>
  </si>
  <si>
    <t>- Pre-selection registers</t>
  </si>
  <si>
    <t>- Interviews
- Physical checks</t>
  </si>
  <si>
    <t># of CHWs trained</t>
  </si>
  <si>
    <t>- Training attendance registers</t>
  </si>
  <si>
    <t>- Physical checks</t>
  </si>
  <si>
    <t>- Project
- MoH</t>
  </si>
  <si>
    <t># of health facility supervisors trained</t>
  </si>
  <si>
    <t># of CHWs equipped with starter packs</t>
  </si>
  <si>
    <t>- Training attendance registers
- Started pack supply register</t>
  </si>
  <si>
    <t>- FGDs
- KIIs</t>
  </si>
  <si>
    <t>Annually</t>
  </si>
  <si>
    <t># of CHWs oriented</t>
  </si>
  <si>
    <t xml:space="preserve">Intermediate Outcome 2.1
Timely, accurate, and complete surveillance data being reported from RHCC districts.
</t>
  </si>
  <si>
    <t>% of surveillance reports submitted on time</t>
  </si>
  <si>
    <t>- DHIS2
- Tableau</t>
  </si>
  <si>
    <t>- Monthly data reviews</t>
  </si>
  <si>
    <t>- Project
- MoH (Malaria Elimination Officers)</t>
  </si>
  <si>
    <t>% of accurate surveillance reports submitted</t>
  </si>
  <si>
    <t>- CHW passive and active registers
- Health facility registers</t>
  </si>
  <si>
    <t>- Monthly data reviews
- Data quality audits
- MTSS</t>
  </si>
  <si>
    <t>% of complete surveillance reports submitted</t>
  </si>
  <si>
    <t># of data CHWs trained</t>
  </si>
  <si>
    <t># of health facility staff trained</t>
  </si>
  <si>
    <t>DHIS2</t>
  </si>
  <si>
    <t>Extraction from DHIS2</t>
  </si>
  <si>
    <t>- Project
- NMEC SMEOR Unit</t>
  </si>
  <si>
    <t>Project</t>
  </si>
  <si>
    <t>Medicine and diagnostic availability</t>
  </si>
  <si>
    <t>- DHIS2</t>
  </si>
  <si>
    <t>- Extraction from DHIS2</t>
  </si>
  <si>
    <t># of Rotarians participating in stakeholder meetings</t>
  </si>
  <si>
    <t>PLAN FOR DATA COLLECTION</t>
  </si>
  <si>
    <t>Indicator definition*</t>
  </si>
  <si>
    <t>Unit of measure*</t>
  </si>
  <si>
    <t>Disaggregated by*</t>
  </si>
  <si>
    <t>Use of indicator*</t>
  </si>
  <si>
    <t>Baseline # and/or %</t>
  </si>
  <si>
    <t>Total Milestones/Targets</t>
  </si>
  <si>
    <t>- Numerator: # of pneumonia deaths
- Denominator: # of children under 5</t>
  </si>
  <si>
    <t>Percentage</t>
  </si>
  <si>
    <t>- Gender
- Geography</t>
  </si>
  <si>
    <t>TBD</t>
  </si>
  <si>
    <t>- DHIO at district level
- Facility in-charge at facility level</t>
  </si>
  <si>
    <t>- Numerator: # of diarrhea deaths
- Denominator: # of children under 5</t>
  </si>
  <si>
    <t>- Gender
- Geography
- Age</t>
  </si>
  <si>
    <t>- Geography</t>
  </si>
  <si>
    <t>- CHW survey
- Household survey
- CHW registers</t>
  </si>
  <si>
    <t>- Extraction from HMIS/DHIS2
- Interviews</t>
  </si>
  <si>
    <t>Percentage of sick children who received timely and appropriate treatment for diarrhea
- Numerator: # of under five children treated on time for diarrhea
- Denominator: # of under five children diagnosed with diarrhea</t>
  </si>
  <si>
    <t>- Treatment point (health facility, CHW, etc)
- Geography
- Age
- Gender</t>
  </si>
  <si>
    <t>To enable assessment of the utilization of curative services for diarrhea within a given population.</t>
  </si>
  <si>
    <t>- DHIS2
- HMIS
- Household survey</t>
  </si>
  <si>
    <t>- Extraction from HMIS/DHIS2
- Household survey interviews of mothers or caregivers</t>
  </si>
  <si>
    <t>Percentage of sick children who received timely and appropriate treatment for malaria
- Numerator: # of under five children treated on time for malaria
- Denominator: # of under five children diagnosed with malaria</t>
  </si>
  <si>
    <t>To enable assessment of the utilization of curative services for malaria within a given population.</t>
  </si>
  <si>
    <t>- Numerator: # of under five pneumonia cases treated at community level
- Denominator: Total number of suspected under five pneumonia cases</t>
  </si>
  <si>
    <t>To track the percentage of management of disease at community verses at faciity level</t>
  </si>
  <si>
    <t>- Numerator: # of under five diarrhea cases treated at community level
- Denominator: Total number of suspected under five diarrhea cases</t>
  </si>
  <si>
    <t xml:space="preserve">Output 1.1.1
Community health worker (CHW) candidates selected by community leaders and neighbourhood health committees (NHCs)
</t>
  </si>
  <si>
    <t>CHWs selected through local leadership in respective zones</t>
  </si>
  <si>
    <t>Number</t>
  </si>
  <si>
    <t>To track involvement of community leadership in the selection of CHWs</t>
  </si>
  <si>
    <t>- DHIO at district level
- EHO at district level
- Facility in-charge at facility level</t>
  </si>
  <si>
    <t>CHWs trained to test, treat, track and refer malaria, diarrhea and pneumonia cases</t>
  </si>
  <si>
    <t xml:space="preserve">To track the number of CHWs equipped with skills to manage diarrhea, pneumonia and malaria </t>
  </si>
  <si>
    <t>Health facility supervisors trained to test, treat, track and refer malaria, diarrhea and pneumonia cases</t>
  </si>
  <si>
    <t xml:space="preserve">To track the number of health facility supervisors equipped with skills to manage diarrhea, pneumonia and malaria </t>
  </si>
  <si>
    <t>CHWs provided with minimum set of starter pack items per NMEC standard</t>
  </si>
  <si>
    <t xml:space="preserve">To track the number of CHWs equipped with enablers to manage diarrhea, pneumonia and malaria </t>
  </si>
  <si>
    <t>Proportion of caregivers in target areas who know of the presence and role of their CHW</t>
  </si>
  <si>
    <t>To measure effectiveness of communication and community sensitization around iCCM</t>
  </si>
  <si>
    <t>- Household survey</t>
  </si>
  <si>
    <t>- Household survey interviews of mothers or caregivers</t>
  </si>
  <si>
    <t>Episodic</t>
  </si>
  <si>
    <t>% of community members aware of iCCM services</t>
  </si>
  <si>
    <t>Population aware of iCCM services</t>
  </si>
  <si>
    <t>To determine community knowledge about the availability of iCCM services in RHCC districts</t>
  </si>
  <si>
    <t>- Survey
- CCAs' reports</t>
  </si>
  <si>
    <t>% of community members seeking iCCM services</t>
  </si>
  <si>
    <t>Population seeking iCCM services</t>
  </si>
  <si>
    <t>To determine the demand for iCCM services in RHCC districts</t>
  </si>
  <si>
    <t>CHWs oriented to conduct community malaria , pneumonia and diarrhea awareness activities</t>
  </si>
  <si>
    <t>To determine the spread of IPC-oriented CHWs in health facility catchment areas</t>
  </si>
  <si>
    <t xml:space="preserve">Primary Outcome 2
Strengthened and sustainable community health systems
</t>
  </si>
  <si>
    <t>- Georgraphy
- Month</t>
  </si>
  <si>
    <t>To determine the proportion of reports submitted on time for timely decision making</t>
  </si>
  <si>
    <t>To determine what proportion of submitted reports are accurate for informed decision making</t>
  </si>
  <si>
    <t xml:space="preserve">Output 2.1.1
CHWs equipped with skills on reporting and use of iCCM disease data
</t>
  </si>
  <si>
    <t>CHWs trained to report on and make decisions from iCCM disease data</t>
  </si>
  <si>
    <t>To determine the number of CHWs equipped with skills to report iCCM data and make decisions from it</t>
  </si>
  <si>
    <t xml:space="preserve">Output 2.1.2
Health facility officers equipped with skills in reporting facility data on iCCM diseases and supply chain
</t>
  </si>
  <si>
    <t>Health facility staff trained to report iCCM disease and supply chain data</t>
  </si>
  <si>
    <t>To determine the number of health facility staff equippped with skills to report iCCM disease and supply chain data</t>
  </si>
  <si>
    <t>Monthly data tracked for all three diseases</t>
  </si>
  <si>
    <t xml:space="preserve">Intermediate Outcome 2.2
Increased number of Ministry of Health staff competent in use of digitised tools
</t>
  </si>
  <si>
    <t>Gender
Geography</t>
  </si>
  <si>
    <t>- Training attendance registers
- Surveys</t>
  </si>
  <si>
    <t>- Physical checks
- Key informant interviews</t>
  </si>
  <si>
    <t>Annual</t>
  </si>
  <si>
    <t># of Rotarians participating in advocacy and resource mobilisation activities in RHCC districts</t>
  </si>
  <si>
    <t>Number of Rotarians who participated in advocacy and resource mobilization for iCCM interventions in RHCC districts</t>
  </si>
  <si>
    <t>To determine how many Rotarians are participating in project activities</t>
  </si>
  <si>
    <t>Training attendance registers</t>
  </si>
  <si>
    <t xml:space="preserve">- Project
</t>
  </si>
  <si>
    <t>Percentage of iCCM sites with all key iCCM medicines and diagnostics in stock during the last day of reporting period
Numerator: # of iCCM sites with all key iCCM medicines and diagnostics in stock during the last day of a reporting period.
Denominator: # of iCCM sites assessed</t>
  </si>
  <si>
    <t>Geography</t>
  </si>
  <si>
    <t>To determine to what extent iCCM diagnostic and treatment products are available at a given point in time</t>
  </si>
  <si>
    <t>Number of Rotarians participating in National Malaria Elimination Programme meetings</t>
  </si>
  <si>
    <t>To determine the involvement of Rotarians in Global Fund meetings to influence funding for iCCM interventions</t>
  </si>
  <si>
    <t>Column heading</t>
  </si>
  <si>
    <t>Instructions </t>
  </si>
  <si>
    <t>(*) Required Fields</t>
  </si>
  <si>
    <t xml:space="preserve">Fields Items marked with an asterik (*) are required. Please ensure to complete these. </t>
  </si>
  <si>
    <t>Output* (Expected results)</t>
  </si>
  <si>
    <t xml:space="preserve">These are the results or change you would expect to occur immediately as a direct result of your activities. (e.g., # CHW trained, # of health campaigns, etc.) </t>
  </si>
  <si>
    <t>Outcome* (Expected results)</t>
  </si>
  <si>
    <t>These are the longer-term change you would expect of a group of people or institutions (e.g.,behaviour change, change the environment where they operate). Often outputs can contribute to outcomes.</t>
  </si>
  <si>
    <t>Enter what is being counted or measured. Please be concise and clear.</t>
  </si>
  <si>
    <t>Indicator definitions must clearly explain all terms and elements of the indicator to ensure consistent interpretation. Vague terms (e.g. “effective,” “quality,” “youth,” “vulnerable”) should be defined. Indicators that pertain to populations, geographic areas, or scores should include specified parameters or ranges. An equation or description of any calculations required to derive the data should be included. If the indicator is a percentage or ratio, include a description of the numerator and denominator.</t>
  </si>
  <si>
    <t>Enter the unit of measure. Normally, the unit of measure should be either number (#) or percentage (%).</t>
  </si>
  <si>
    <t>List any planned ways of disaggregating the data (male/female, youth/adult, urban/rural, region, etc.).</t>
  </si>
  <si>
    <t>Describe how this indicator will be used to monitor progress in achieving program outcomes.</t>
  </si>
  <si>
    <t>Baseline #/%</t>
  </si>
  <si>
    <t>If applicable, insert the measurement of conditions at the start of a project. All subsequent progress will be assessed against this starting point measurement. Some projects may need to plan to collect this at the start of their program.</t>
  </si>
  <si>
    <t>Target #/%*</t>
  </si>
  <si>
    <t>Insert the overall target to be reached by this indicator over the life of the program.</t>
  </si>
  <si>
    <t>Data source*</t>
  </si>
  <si>
    <t xml:space="preserve">Identify the documents, databases, organization, or individuals that will provide raw data for this indicator. Identify the source of data (e.g., department of health survey; ministry data; partner records). If data are from third-party sources such as a government ministry or international organization, include the citation or link to the source. If data are collected by implementing partners, specify where the partner is getting the data. </t>
  </si>
  <si>
    <t>Data collection methods*</t>
  </si>
  <si>
    <t>Describe the tools and methods for collecting the raw data (e.g., ledger of patient names, document review, structured interviews, focus group interviews, written survey, direct observation, self-reported information).  If the indicator is an index or composite indicator, describe the procedure or formula for calculation.</t>
  </si>
  <si>
    <t xml:space="preserve">Specify how often data will be sent to Rotary and when. Most common reporting frequencies are quarterly, semiannual, and annual. </t>
  </si>
  <si>
    <t>Identify the person and position within each organization who will have responsibility for providing the data for the indicator.</t>
  </si>
  <si>
    <t xml:space="preserve">Strategic Goal:
To reduce severe  disease and death due to Malaria, Pneumonia and Diarrhea in children under five through increased coverage and sustainable quality of care in RHCC districts  
</t>
  </si>
  <si>
    <t>Treatment coverage - malaria</t>
  </si>
  <si>
    <t xml:space="preserve">Treatment coverage - Pneumonia </t>
  </si>
  <si>
    <t>Treatment coverage - diarrhea</t>
  </si>
  <si>
    <t># of CHWs with consistent supply of commodities to diagnose and treat disease at community level</t>
  </si>
  <si>
    <t># of Data Quality Audit conducted</t>
  </si>
  <si>
    <t>To determine the number of Data Quality audit conducted out of the planned</t>
  </si>
  <si>
    <t># of MTSS to CHW's conducted</t>
  </si>
  <si>
    <t>To determine the number of MTSS conducted to CHW's out of the planned</t>
  </si>
  <si>
    <t>Province/ district</t>
  </si>
  <si>
    <t>To determine the proportion of participation of rotarian in End Malaria Council in RHCC sites</t>
  </si>
  <si>
    <t>Intermediate Outcome 1.1 Increased access to malaria testing and treatment, and diarrhea and pneumonia services at community level</t>
  </si>
  <si>
    <t># of CHWs deployed</t>
  </si>
  <si>
    <t xml:space="preserve">CHWs deployed </t>
  </si>
  <si>
    <t>- Numerator: # of pneumonia cases treated at community level
- Denominator: Total number of suspected under five pneumonia cases</t>
  </si>
  <si>
    <t>CHWs provided with supply of commodities to diagnose and treat disease</t>
  </si>
  <si>
    <t xml:space="preserve">- Numerator: Number of surveillance reports submitted on time
- Denominator: Expected number of surveillance reports </t>
  </si>
  <si>
    <t xml:space="preserve">- Numerator: Number of accurate surveillance reports submitted
- Denominator: Expected number of surveillance reports </t>
  </si>
  <si>
    <t xml:space="preserve">- Numerator: Number of complete surveillance reports submitted
- Denominator: Expected number of surveillance reports </t>
  </si>
  <si>
    <t xml:space="preserve">Commodity, Province/District </t>
  </si>
  <si>
    <t>Proportion of CHWs who received at least one supervisory contact in the prior 3 months where registers were reviewed</t>
  </si>
  <si>
    <t>Province/District</t>
  </si>
  <si>
    <t>Proportion of CHWs who correctly count respiratory rate to diagnose ARI</t>
  </si>
  <si>
    <t>Proportion of sick children recommended for referral who are received at referral facility</t>
  </si>
  <si>
    <t>Gender, Age, Disease, Province/District</t>
  </si>
  <si>
    <t>Proportion of cases managed at community vs health facility level    -  [Proportion of cases managed at the community level relative to those managed at the health facility level. It is a comparison of the number of cases treated or managed in the community (by community health workers or community-based health initiatives) versus those that are referred to or managed in health facilities (clinics, hospitals).</t>
  </si>
  <si>
    <t>% of RHCC Health Facilities with no stockouts</t>
  </si>
  <si>
    <t>Proportion of RHCCs with no stockouts of key supplies (RDTs, ACTs, Zinc, ORS, Amoxicillin)</t>
  </si>
  <si>
    <t>Assess stock availability at RHCCs [Used to assess the effectiveness of the supply chain, inventory management, and logistical systems that ensure the consistent availability of critical health supplies in rural health centers. It helps monitor whether the health facilities are able to serve the population effectively without interruptions due to supply shortages]</t>
  </si>
  <si>
    <t># of CHWs who did not experience any stockouts of essential commodities in the reporting period./ The total number of CHWs who report on stock levels during the same period</t>
  </si>
  <si>
    <t>Commodity, District /Province, Reporting period</t>
  </si>
  <si>
    <t>% CHWs who had no stock outs of commodities during the reporting period</t>
  </si>
  <si>
    <t>To monitor the progress of improving supply chain and distribution systems/ To measure the impact of interventions designed to reduce stockouts and improve access to essential commodities</t>
  </si>
  <si>
    <t>Province/District/ Health facility</t>
  </si>
  <si>
    <t># Data Quality Audit conducted</t>
  </si>
  <si>
    <t># of CHWs who received at least one supervisory contact in the prior 3 months where registers were reviewed</t>
  </si>
  <si>
    <t># of CHWs who received at least one supervisory contact in the prior 3 month where registers were reviewed</t>
  </si>
  <si>
    <t>To track the frequency of supervisory visits and ensure they are occurring regularly/To assess the quality of supervision based on its focus on key areas like documentation, register management, and data accuracy.</t>
  </si>
  <si>
    <t>Supervisory reports/Supervision logs or visit records/CHW self-reporting (e.g., surveys or interviews)</t>
  </si>
  <si>
    <t># of CHWs who correctly count respiratory rate to diagnose ARI</t>
  </si>
  <si>
    <t># of subnational End Malaria Council with rotarian representations in RHCC sites</t>
  </si>
  <si>
    <t># of sick children recommended for referral who are received at referral facility</t>
  </si>
  <si>
    <t># of CHWs who are providing iCCM services one year after deployment</t>
  </si>
  <si>
    <t># of sick children recommended for referral facility</t>
  </si>
  <si>
    <t>The indicator tracks how well CHWs are applying their knowledge and skills in diagnosing ARI based on respiratory rate</t>
  </si>
  <si>
    <t>MTSS reports/ District performance Assessment reports</t>
  </si>
  <si>
    <t># of CHWs who received at least one supervisory contact in the prior 3 month where registers were reviewed/ Total number of active CHWs</t>
  </si>
  <si>
    <t># of CHWs who correctly count respiratory rate to diagnose ARI/ Total number assessed</t>
  </si>
  <si>
    <t>Proportion of iCCM supervisor trained</t>
  </si>
  <si>
    <t>To measure Proportion of health facility staff assigned to iCCM that were trained in iCCM</t>
  </si>
  <si>
    <t># of sick children recommended for referral facility/ Total received at referral facility</t>
  </si>
  <si>
    <t>By tracking whether referred children receive care, the indicator helps to identify whether there are gaps in the continuum of care. Children who are recommended for referral but do not receive care at a referral facility may face complications due to delayed treatment.</t>
  </si>
  <si>
    <t>Referral Records/Referral Logs at the Referral Facility/Health Information Management Systems</t>
  </si>
  <si>
    <t>Assesses the shift to community care</t>
  </si>
  <si>
    <t>Data quality audit report</t>
  </si>
  <si>
    <t>MTSS reports</t>
  </si>
  <si>
    <t>- Project</t>
  </si>
  <si>
    <t>- Physical checks/ Extraction from RHCC reporting system</t>
  </si>
  <si>
    <t>Physical assessment/Spot checks</t>
  </si>
  <si>
    <t xml:space="preserve">Quarterly </t>
  </si>
  <si>
    <t>Monthly</t>
  </si>
  <si>
    <t>Number of radio adverts aired</t>
  </si>
  <si>
    <t>The total number of radio adverts broadcasted as part of the community sensitization efforts</t>
  </si>
  <si>
    <t>To track the extent of radio outreach in raising awareness about community health and mobilization efforts.</t>
  </si>
  <si>
    <t>Number of radio talk shows conducted</t>
  </si>
  <si>
    <t>The total number of radio talk shows featuring health topics that involve CHWs and encourage community participation.</t>
  </si>
  <si>
    <t>To measure the engagement and dissemination of health-related information through interactive discussions</t>
  </si>
  <si>
    <t>Number of signage materials deployed</t>
  </si>
  <si>
    <t>The total number of signage materials, such as pop-ups and backdrops, used for sensitization in public spaces.</t>
  </si>
  <si>
    <t>To track the visibility and presence of health messages in key community areas and ensure wide public exposure.</t>
  </si>
  <si>
    <t>Number of billboards placed</t>
  </si>
  <si>
    <t>The total number of billboards placed in strategic locations for public health messaging.</t>
  </si>
  <si>
    <t>To measure the scale of billboard usage for promoting health messages across different locations in the community</t>
  </si>
  <si>
    <t>The total number of branding materials (such as posters, logos, or banners) displayed in project offices.</t>
  </si>
  <si>
    <t>To evaluate the internal visibility and consistency of the health messages within project-related spaces.</t>
  </si>
  <si>
    <t>To measure the production and distribution reach of printed health communication materials in the community.</t>
  </si>
  <si>
    <t>Number of posters produced and distributed</t>
  </si>
  <si>
    <t>The total number of posters produced and distributed for community sensitization on health topics.</t>
  </si>
  <si>
    <t>Activity reports</t>
  </si>
  <si>
    <t xml:space="preserve">Activity reports/ </t>
  </si>
  <si>
    <t>Number of Community/School Lead Sanitation Facilitators trained</t>
  </si>
  <si>
    <t>The total number of facilitators trained in Total Sanitation (community and school).</t>
  </si>
  <si>
    <t>To track the capacity building of community and school-based facilitators who will lead WASH efforts.</t>
  </si>
  <si>
    <t>Number of districts where CLTS is conducted</t>
  </si>
  <si>
    <t>The total number of districts where the CLTS methodology was implemented to trigger community-led sanitation efforts.</t>
  </si>
  <si>
    <t>To measure the geographical coverage and impact of CLTS activities in promoting improved sanitation in the community.</t>
  </si>
  <si>
    <t>Number of districts where SLTS is conducted</t>
  </si>
  <si>
    <t>The total number of districts where SLTS programs are implemented, focusing on school sanitation and hygiene.</t>
  </si>
  <si>
    <t>To assess the number of school-based sanitation programs conducted to ensure clean and safe school environments.</t>
  </si>
  <si>
    <t>Number of communities declared ODF</t>
  </si>
  <si>
    <t>The total number of communities that have been certified as open defecation-free as a result of sanitation programs.</t>
  </si>
  <si>
    <t>To measure the success of sanitation initiatives and the effectiveness of community efforts in eliminating open defecation.</t>
  </si>
  <si>
    <t>Reports, minutes</t>
  </si>
  <si>
    <t>Physical checks</t>
  </si>
  <si>
    <t>To track the effectiveness of the referal system</t>
  </si>
  <si>
    <t>To track active CHWs providing ICCM services after deployment</t>
  </si>
  <si>
    <t>% of malaria cases managed at community vs health facility</t>
  </si>
  <si>
    <t>% of Pneumonia cases managed at community vs health facility</t>
  </si>
  <si>
    <t>% of diarrhoea cases managed at community vs health facility</t>
  </si>
  <si>
    <t>Case Fatality Rate</t>
  </si>
  <si>
    <t>Facility IPD Register, HMIS, DHIS2</t>
  </si>
  <si>
    <t>Incidence Rate</t>
  </si>
  <si>
    <t xml:space="preserve"># of deaths due to pneumonia per 1000 admissions of U5 in a given period </t>
  </si>
  <si>
    <t xml:space="preserve"># of deaths due to diarrhoea per 1000 admissions of U5 in a given period </t>
  </si>
  <si>
    <t xml:space="preserve"># of deaths due to malaria per 1000 admissions of U5 in a given period </t>
  </si>
  <si>
    <t># of new severe malaria cases against the total population of U5 at risk in a specified period</t>
  </si>
  <si>
    <t># of new severe diarrhea cases against the total population of U5 at risk in a specified period</t>
  </si>
  <si>
    <t>To track the incidence of severe malaria among the U5 children in the specified period</t>
  </si>
  <si>
    <t>To track the incidence of severe pneumonia among the U5 children in the specified period</t>
  </si>
  <si>
    <t>To track the incidence of severe diarrhoea among the U5 children in the specified period</t>
  </si>
  <si>
    <t>MRR system, HMIS, Zambia DHIS2</t>
  </si>
  <si>
    <t>Quarterly/ Semi-annually</t>
  </si>
  <si>
    <t>To track severe pneumonia or the effectiveness of medical intervention</t>
  </si>
  <si>
    <t>To track severe diarrhoea or the effectiveness of medical intervention</t>
  </si>
  <si>
    <t>To track severe malaria or the effectiveness of medical intervention</t>
  </si>
  <si>
    <t xml:space="preserve">   </t>
  </si>
  <si>
    <t>To detemine  malaria, pneumonia and diarrhea are being tracked reliably in a single platform</t>
  </si>
  <si>
    <t>- Numerator: # of malaria deaths
- Denominator: # of children under 5</t>
  </si>
  <si>
    <t>Number of offices branded with materials created</t>
  </si>
  <si>
    <t xml:space="preserve">To track the number of CHWs equipped and deployed with skills to manage diarrhea, pneumonia and malaria </t>
  </si>
  <si>
    <t>- Numerator: # of malaria cases treated at community level
- Denominator: Total number of suspected malaria cases</t>
  </si>
  <si>
    <t>% of pnuemonia cases diagnosed at community level</t>
  </si>
  <si>
    <t>% of diarrhea cases diagnosed at community level</t>
  </si>
  <si>
    <t>% of malaria cases managed at community level</t>
  </si>
  <si>
    <t># of new  pneumonia cases against the total population of U5 at risk in a specified period</t>
  </si>
  <si>
    <t xml:space="preserve">Output 1.1.3 
CHWs trained with their health facility supervisor to test, treat and track malaria, diarrhea and pneumonia, and to refer patients per MOH guidelines
</t>
  </si>
  <si>
    <t xml:space="preserve"># of disease specific tracked </t>
  </si>
  <si>
    <t>Proportion of caregiver knowledge of CHW location and role</t>
  </si>
  <si>
    <t>Output 2.1.4 Data Quality Audit to CHW's Community level inclusive NHC selected members conducted</t>
  </si>
  <si>
    <t>Output 2.1.6 MTSS to  CHW's (mentorship and technical supportive supervision) conducted at community and faciity level</t>
  </si>
  <si>
    <t># of rotarians trained</t>
  </si>
  <si>
    <t xml:space="preserve"># of Rotarians Trained  </t>
  </si>
  <si>
    <t xml:space="preserve">To track the number of Rotarian representation trained in RHCC sites </t>
  </si>
  <si>
    <t># of surveillance reports generated/ The expected</t>
  </si>
  <si>
    <t>To track Rotarian surveillance activities in RHCC sites</t>
  </si>
  <si>
    <t># of policy dialogues attended</t>
  </si>
  <si>
    <t>To secure commitments for CHW integration, and continued supply of commodities</t>
  </si>
  <si>
    <t># of policy dialogue attended to secure commitments for CHW integration and continued supply of commodities</t>
  </si>
  <si>
    <t>Proportion of surveillance reports generated by trained Rotarians</t>
  </si>
  <si>
    <t># of Advocacy members trained</t>
  </si>
  <si>
    <t>To build the foundational capacity of the RHCC Advocacy Committee on key advocacy strategies, stakeholder engagement, and policy influence.</t>
  </si>
  <si>
    <t># of Advocacy members trained in RHCC</t>
  </si>
  <si>
    <t># of Rotary President-Elects (PEs) trained on Advocacy and RHCC</t>
  </si>
  <si>
    <t>Number of Rotary President-Elects (PEs) trained on Advocacy and RHCC</t>
  </si>
  <si>
    <t xml:space="preserve">To expand advocacy leadership within Rotary by equipping all President-Elects of </t>
  </si>
  <si>
    <t>Number of activities initiated by trained members</t>
  </si>
  <si>
    <t># of advocacy activities initiated by trained members</t>
  </si>
  <si>
    <t>To track advocacy activities initiated by trained members</t>
  </si>
  <si>
    <t># of National Campaigns campaigns participated by rotarians</t>
  </si>
  <si>
    <t># of family health days participated by rotarians</t>
  </si>
  <si>
    <t>Number of campaigns participated Total held</t>
  </si>
  <si>
    <t>To track Rotary and Rotaract Clubs with knowledge on RHCC and advocacy strategies.</t>
  </si>
  <si>
    <t>To track rotarian participation in rotary family health days</t>
  </si>
  <si>
    <t>Number of family health days participat</t>
  </si>
  <si>
    <t>Explanation for variance</t>
  </si>
  <si>
    <t xml:space="preserve">CHWs selection is a once off activity as such the target is 2086 for the entire project. In the period under review, 1214 CHWs were selected from 3 out of 6 districts. </t>
  </si>
  <si>
    <t xml:space="preserve">Year 1 </t>
  </si>
  <si>
    <t>Year 2</t>
  </si>
  <si>
    <t xml:space="preserve">Year 3 </t>
  </si>
  <si>
    <t xml:space="preserve">Primary Outcome 1 (a)
Reduced deaths due to pneumonia, in children under five, in the RHCC districts
</t>
  </si>
  <si>
    <t>Primary outcome 1 (b): Reduced severe malaria in children under five in the RHCC districts</t>
  </si>
  <si>
    <t>Numerator: # of supervisors assigned to iCCM (at all levels of the health system) that have been trained in iCCM
Denominator: # of supervisors assigned to iCCM (at all levels of the health system)</t>
  </si>
  <si>
    <t xml:space="preserve">Output 1.2.1 (a)
CHWs trained with their health facility supervisor to test, treat and track malaria, diarrhea and pneumonia, and to refer patients per MOH guidelines
</t>
  </si>
  <si>
    <t xml:space="preserve">Output 1.2.1 (b)
CHWs trained with their health facility supervisor to test, treat and track malaria, diarrhea and pneumonia, and to refer patients per MOH guidelines deployed
</t>
  </si>
  <si>
    <t xml:space="preserve">Output 1.3.1 (a)
CHWs equipped with a starter pack (incentives) and consistent supply of commodities to diagnose and treat disease at community level
</t>
  </si>
  <si>
    <t xml:space="preserve">Output 1.3.1 (b)
CHWs equipped with a starter pack (incentives) and consistent supply of commodities to diagnose and treat disease at community level
</t>
  </si>
  <si>
    <t xml:space="preserve">Intermediate Outcome:
Increased community awareness and demand for malaria, diarrhea, and pneumonia prevention and treatment services
</t>
  </si>
  <si>
    <t>Output 1.4.2
Communities supported with information and educational messages on WASH</t>
  </si>
  <si>
    <t># of CHW and facility phones procured</t>
  </si>
  <si>
    <t>Tracking of mobile phones procured</t>
  </si>
  <si>
    <t>T assess the number procured against the planned</t>
  </si>
  <si>
    <t xml:space="preserve">Inventory, </t>
  </si>
  <si>
    <t xml:space="preserve">Output 2.3.1 Integrated tools for tracking Malaria, Pneumonia and Diarrhea developed 
</t>
  </si>
  <si>
    <t xml:space="preserve">Intermediate Outcome 3.1
Improved advocacy and resource mobilization in RHCC districts
</t>
  </si>
  <si>
    <t xml:space="preserve">Output 3.1.4
Rotary represented on provincial-level End Malaria Councils to leverage private sector support
</t>
  </si>
  <si>
    <t>Output 3.1.2: Rotarians and RHCC Country Committee participate in Global Fund commodity stakeholder meetings</t>
  </si>
  <si>
    <t xml:space="preserve">Output 3.1.7: Rotarians trained in the Alma Scorecard for Surveillance &amp; Data Monitoring </t>
  </si>
  <si>
    <t>Output 3.1.8: Advocacy members trained in RHCC</t>
  </si>
  <si>
    <t>Output 1.4.1
CHWs oriented in interpersonal communication (IPC) to conduct community sensitization and mobilization</t>
  </si>
  <si>
    <t>Output 3.1.6: Participated in National Campaigns and Rotary Family Health Days</t>
  </si>
  <si>
    <t>In period under review The project trainings and service provision had not commenced hence we can attribute any changes in the indicator to the project</t>
  </si>
  <si>
    <t>N/A</t>
  </si>
  <si>
    <t>Qtr 1 &amp; 2 2025 Achievement</t>
  </si>
  <si>
    <t>Qtr 3 &amp; 4 2025 Achievement</t>
  </si>
  <si>
    <t>Overall Achievement</t>
  </si>
  <si>
    <t>Mobile phones procured and ready for deployment</t>
  </si>
  <si>
    <t xml:space="preserve">Tool developed and currenlty being tested </t>
  </si>
  <si>
    <t>No policy dialogues were held since the project key deliverables were not completed</t>
  </si>
  <si>
    <t xml:space="preserve">No stakeholders meetings held in the period under review as key deliverables [trainings and CHW service provision were not executed </t>
  </si>
  <si>
    <t xml:space="preserve">No surveillance reports were generated in the period under review </t>
  </si>
  <si>
    <t>No training was planned in the period under review</t>
  </si>
  <si>
    <t>To track pneumonia deaths in under five children over time in a specified population/1000</t>
  </si>
  <si>
    <t>To track diarrhea deaths in under five children over time in a specified population/1000</t>
  </si>
  <si>
    <t>To track malaria deaths over time in a specified population/1000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</si>
</sst>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theme="1"/>
      <name val="Calibri Light"/>
      <family val="2"/>
      <scheme val="major"/>
    </font>
    <font>
      <sz val="12"/>
      <color theme="1"/>
      <name val="Calibri"/>
      <family val="2"/>
      <scheme val="minor"/>
    </font>
    <font>
      <sz val="9"/>
      <color indexed="81"/>
      <name val="Tahoma"/>
      <family val="2"/>
    </font>
    <font>
      <b/>
      <sz val="9"/>
      <color indexed="81"/>
      <name val="Tahoma"/>
      <family val="2"/>
    </font>
    <font>
      <sz val="10"/>
      <name val="Arial"/>
      <family val="2"/>
    </font>
    <font>
      <sz val="9"/>
      <color theme="1"/>
      <name val="Arial"/>
      <family val="2"/>
    </font>
    <font>
      <b/>
      <sz val="9"/>
      <color theme="1"/>
      <name val="Arial"/>
      <family val="2"/>
    </font>
    <font>
      <b/>
      <i/>
      <sz val="9"/>
      <color theme="1"/>
      <name val="Arial"/>
      <family val="2"/>
    </font>
    <font>
      <b/>
      <i/>
      <sz val="9"/>
      <name val="Arial"/>
      <family val="2"/>
    </font>
    <font>
      <b/>
      <sz val="9"/>
      <name val="Arial"/>
      <family val="2"/>
    </font>
    <font>
      <sz val="9"/>
      <name val="Arial"/>
      <family val="2"/>
    </font>
    <font>
      <sz val="9"/>
      <color rgb="FF000000"/>
      <name val="Arial"/>
      <family val="2"/>
    </font>
    <font>
      <sz val="9"/>
      <color rgb="FFFF0000"/>
      <name val="Arial"/>
      <family val="2"/>
    </font>
  </fonts>
  <fills count="12">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3D5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7" tint="0.79998168889431442"/>
      </top>
      <bottom/>
      <diagonal/>
    </border>
  </borders>
  <cellStyleXfs count="2">
    <xf numFmtId="0" fontId="0" fillId="0" borderId="0"/>
    <xf numFmtId="0" fontId="5" fillId="0" borderId="0"/>
  </cellStyleXfs>
  <cellXfs count="93">
    <xf numFmtId="0" fontId="0" fillId="0" borderId="0" xfId="0"/>
    <xf numFmtId="0" fontId="2" fillId="0" borderId="1" xfId="0" applyFont="1" applyBorder="1" applyAlignment="1">
      <alignment horizontal="left"/>
    </xf>
    <xf numFmtId="0" fontId="2" fillId="0" borderId="1" xfId="0" applyFont="1" applyBorder="1" applyAlignment="1">
      <alignment horizontal="left" wrapText="1"/>
    </xf>
    <xf numFmtId="0" fontId="1" fillId="4" borderId="1" xfId="0" applyFont="1" applyFill="1" applyBorder="1" applyAlignment="1">
      <alignment horizontal="left"/>
    </xf>
    <xf numFmtId="0" fontId="1" fillId="4" borderId="1" xfId="0" applyFont="1" applyFill="1" applyBorder="1" applyAlignment="1">
      <alignment horizontal="center"/>
    </xf>
    <xf numFmtId="0" fontId="6" fillId="0" borderId="0" xfId="0" applyFont="1"/>
    <xf numFmtId="0" fontId="7" fillId="3" borderId="1" xfId="0" applyFont="1" applyFill="1" applyBorder="1" applyAlignment="1">
      <alignment wrapText="1"/>
    </xf>
    <xf numFmtId="0" fontId="7" fillId="0" borderId="0" xfId="0" applyFont="1"/>
    <xf numFmtId="0" fontId="10" fillId="8" borderId="1" xfId="0" applyFont="1" applyFill="1" applyBorder="1" applyAlignment="1">
      <alignment vertical="top" wrapText="1"/>
    </xf>
    <xf numFmtId="0" fontId="7" fillId="8" borderId="1" xfId="0" applyFont="1" applyFill="1" applyBorder="1"/>
    <xf numFmtId="0" fontId="7" fillId="8" borderId="1" xfId="0" applyFont="1" applyFill="1" applyBorder="1" applyAlignment="1">
      <alignment wrapText="1"/>
    </xf>
    <xf numFmtId="0" fontId="8" fillId="8" borderId="1" xfId="0" applyFont="1" applyFill="1" applyBorder="1" applyAlignment="1">
      <alignment wrapText="1"/>
    </xf>
    <xf numFmtId="0" fontId="9" fillId="8" borderId="1" xfId="0" applyFont="1" applyFill="1" applyBorder="1" applyAlignment="1">
      <alignment wrapText="1"/>
    </xf>
    <xf numFmtId="0" fontId="7" fillId="8" borderId="0" xfId="0" applyFont="1" applyFill="1"/>
    <xf numFmtId="0" fontId="11" fillId="4" borderId="1" xfId="0" applyFont="1" applyFill="1" applyBorder="1" applyAlignment="1">
      <alignment vertical="top" wrapText="1"/>
    </xf>
    <xf numFmtId="0" fontId="11" fillId="4" borderId="1" xfId="0" quotePrefix="1" applyFont="1" applyFill="1" applyBorder="1" applyAlignment="1">
      <alignment vertical="top" wrapText="1"/>
    </xf>
    <xf numFmtId="0" fontId="6" fillId="4" borderId="1" xfId="0" quotePrefix="1" applyFont="1" applyFill="1" applyBorder="1" applyAlignment="1">
      <alignment vertical="top" wrapText="1"/>
    </xf>
    <xf numFmtId="0" fontId="10" fillId="0" borderId="0" xfId="0" applyFont="1" applyAlignment="1">
      <alignment vertical="top" wrapText="1"/>
    </xf>
    <xf numFmtId="0" fontId="6" fillId="4" borderId="1" xfId="0" applyFont="1" applyFill="1" applyBorder="1" applyAlignment="1">
      <alignment vertical="top" wrapText="1"/>
    </xf>
    <xf numFmtId="0" fontId="7" fillId="0" borderId="0" xfId="0" applyFont="1" applyAlignment="1">
      <alignment vertical="top" wrapText="1"/>
    </xf>
    <xf numFmtId="0" fontId="12" fillId="4" borderId="1" xfId="0" applyFont="1" applyFill="1" applyBorder="1" applyAlignment="1">
      <alignment horizontal="left" vertical="center" wrapText="1" readingOrder="1"/>
    </xf>
    <xf numFmtId="0" fontId="12" fillId="4" borderId="6" xfId="0" applyFont="1" applyFill="1" applyBorder="1" applyAlignment="1">
      <alignment horizontal="left" vertical="center" wrapText="1" readingOrder="1"/>
    </xf>
    <xf numFmtId="0" fontId="11" fillId="11" borderId="1" xfId="0" applyFont="1" applyFill="1" applyBorder="1" applyAlignment="1">
      <alignment vertical="top" wrapText="1"/>
    </xf>
    <xf numFmtId="0" fontId="11" fillId="11" borderId="1" xfId="0" quotePrefix="1" applyFont="1" applyFill="1" applyBorder="1" applyAlignment="1">
      <alignment vertical="top" wrapText="1"/>
    </xf>
    <xf numFmtId="0" fontId="6" fillId="8" borderId="0" xfId="0" applyFont="1" applyFill="1" applyAlignment="1">
      <alignment vertical="top" wrapText="1"/>
    </xf>
    <xf numFmtId="0" fontId="6" fillId="11" borderId="1" xfId="0" applyFont="1" applyFill="1" applyBorder="1" applyAlignment="1">
      <alignment vertical="top" wrapText="1"/>
    </xf>
    <xf numFmtId="0" fontId="6" fillId="11" borderId="1" xfId="0" quotePrefix="1" applyFont="1" applyFill="1" applyBorder="1" applyAlignment="1">
      <alignment vertical="top" wrapText="1"/>
    </xf>
    <xf numFmtId="0" fontId="11" fillId="7" borderId="1" xfId="0" applyFont="1" applyFill="1" applyBorder="1" applyAlignment="1">
      <alignment vertical="top" wrapText="1"/>
    </xf>
    <xf numFmtId="0" fontId="11" fillId="7" borderId="1" xfId="0" quotePrefix="1" applyFont="1" applyFill="1" applyBorder="1" applyAlignment="1">
      <alignment vertical="top" wrapText="1"/>
    </xf>
    <xf numFmtId="0" fontId="11" fillId="9" borderId="0" xfId="0" applyFont="1" applyFill="1" applyAlignment="1">
      <alignment vertical="top" wrapText="1"/>
    </xf>
    <xf numFmtId="0" fontId="13" fillId="9" borderId="0" xfId="0" applyFont="1" applyFill="1" applyAlignment="1">
      <alignment vertical="top" wrapText="1"/>
    </xf>
    <xf numFmtId="0" fontId="6" fillId="5" borderId="1" xfId="0" applyFont="1" applyFill="1" applyBorder="1" applyAlignment="1">
      <alignment vertical="top" wrapText="1"/>
    </xf>
    <xf numFmtId="0" fontId="6" fillId="5" borderId="1" xfId="0" quotePrefix="1" applyFont="1" applyFill="1" applyBorder="1" applyAlignment="1">
      <alignment vertical="top" wrapText="1"/>
    </xf>
    <xf numFmtId="0" fontId="6" fillId="0" borderId="0" xfId="0" applyFont="1" applyAlignment="1">
      <alignment vertical="top" wrapText="1"/>
    </xf>
    <xf numFmtId="0" fontId="11" fillId="9" borderId="3" xfId="0" applyFont="1" applyFill="1" applyBorder="1" applyAlignment="1">
      <alignment vertical="top" wrapText="1"/>
    </xf>
    <xf numFmtId="0" fontId="11" fillId="9" borderId="1" xfId="0" applyFont="1" applyFill="1" applyBorder="1" applyAlignment="1">
      <alignment vertical="top" wrapText="1"/>
    </xf>
    <xf numFmtId="0" fontId="11" fillId="9" borderId="1" xfId="0" quotePrefix="1" applyFont="1" applyFill="1" applyBorder="1" applyAlignment="1">
      <alignment vertical="top" wrapText="1"/>
    </xf>
    <xf numFmtId="0" fontId="11" fillId="6" borderId="1" xfId="0" applyFont="1" applyFill="1" applyBorder="1" applyAlignment="1">
      <alignment vertical="top" wrapText="1"/>
    </xf>
    <xf numFmtId="0" fontId="11" fillId="6" borderId="1" xfId="0" quotePrefix="1" applyFont="1" applyFill="1" applyBorder="1" applyAlignment="1">
      <alignment vertical="top" wrapText="1"/>
    </xf>
    <xf numFmtId="0" fontId="11" fillId="0" borderId="0" xfId="0" applyFont="1" applyAlignment="1">
      <alignment vertical="top" wrapText="1"/>
    </xf>
    <xf numFmtId="0" fontId="11" fillId="5" borderId="1" xfId="0" applyFont="1" applyFill="1" applyBorder="1" applyAlignment="1">
      <alignment vertical="top" wrapText="1"/>
    </xf>
    <xf numFmtId="0" fontId="11" fillId="5" borderId="1" xfId="0" quotePrefix="1" applyFont="1" applyFill="1" applyBorder="1" applyAlignment="1">
      <alignment vertical="top" wrapText="1"/>
    </xf>
    <xf numFmtId="0" fontId="11" fillId="5" borderId="0" xfId="0" applyFont="1" applyFill="1" applyAlignment="1">
      <alignment vertical="top" wrapText="1"/>
    </xf>
    <xf numFmtId="0" fontId="10" fillId="4" borderId="1" xfId="0" applyFont="1" applyFill="1" applyBorder="1" applyAlignment="1">
      <alignment vertical="top" wrapText="1"/>
    </xf>
    <xf numFmtId="0" fontId="10" fillId="6" borderId="1" xfId="0" applyFont="1" applyFill="1" applyBorder="1" applyAlignment="1">
      <alignment vertical="top" wrapText="1"/>
    </xf>
    <xf numFmtId="0" fontId="6" fillId="5" borderId="0" xfId="0" applyFont="1" applyFill="1" applyAlignment="1">
      <alignment vertical="top" wrapText="1"/>
    </xf>
    <xf numFmtId="0" fontId="11" fillId="0" borderId="0" xfId="0" applyFont="1"/>
    <xf numFmtId="0" fontId="6" fillId="6" borderId="1" xfId="0" applyFont="1" applyFill="1" applyBorder="1"/>
    <xf numFmtId="0" fontId="6" fillId="6" borderId="1" xfId="0" applyFont="1" applyFill="1" applyBorder="1" applyAlignment="1">
      <alignment wrapText="1"/>
    </xf>
    <xf numFmtId="0" fontId="6" fillId="0" borderId="0" xfId="0" applyFont="1" applyAlignment="1">
      <alignment wrapText="1"/>
    </xf>
    <xf numFmtId="0" fontId="7" fillId="4" borderId="1" xfId="0" applyFont="1" applyFill="1" applyBorder="1" applyAlignment="1">
      <alignment horizontal="center"/>
    </xf>
    <xf numFmtId="0" fontId="7" fillId="2" borderId="1" xfId="0" applyFont="1" applyFill="1" applyBorder="1" applyAlignment="1">
      <alignment horizontal="center" vertical="top" wrapText="1"/>
    </xf>
    <xf numFmtId="0" fontId="8" fillId="2" borderId="1" xfId="0" applyFont="1" applyFill="1" applyBorder="1" applyAlignment="1">
      <alignment horizontal="center" vertical="top" wrapText="1"/>
    </xf>
    <xf numFmtId="0" fontId="9" fillId="2" borderId="1" xfId="0" applyFont="1" applyFill="1" applyBorder="1" applyAlignment="1">
      <alignment horizontal="center" vertical="top" wrapText="1"/>
    </xf>
    <xf numFmtId="2" fontId="11" fillId="4" borderId="1" xfId="0" applyNumberFormat="1" applyFont="1" applyFill="1" applyBorder="1" applyAlignment="1">
      <alignment horizontal="center" vertical="top" wrapText="1"/>
    </xf>
    <xf numFmtId="0" fontId="11" fillId="4"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12" fillId="4" borderId="1" xfId="0" applyFont="1" applyFill="1" applyBorder="1" applyAlignment="1">
      <alignment horizontal="left" vertical="top" wrapText="1" readingOrder="1"/>
    </xf>
    <xf numFmtId="2" fontId="13" fillId="4" borderId="1" xfId="0" applyNumberFormat="1" applyFont="1" applyFill="1" applyBorder="1" applyAlignment="1">
      <alignment horizontal="center" vertical="top" wrapText="1"/>
    </xf>
    <xf numFmtId="0" fontId="11" fillId="11" borderId="1" xfId="0" applyFont="1" applyFill="1" applyBorder="1" applyAlignment="1">
      <alignment horizontal="center" vertical="top" wrapText="1"/>
    </xf>
    <xf numFmtId="9" fontId="11" fillId="11" borderId="1" xfId="0" applyNumberFormat="1" applyFont="1" applyFill="1" applyBorder="1" applyAlignment="1">
      <alignment horizontal="center" vertical="top" wrapText="1"/>
    </xf>
    <xf numFmtId="0" fontId="6" fillId="11" borderId="1" xfId="0" applyFont="1" applyFill="1" applyBorder="1" applyAlignment="1">
      <alignment horizontal="center" vertical="top" wrapText="1"/>
    </xf>
    <xf numFmtId="0" fontId="11" fillId="7"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11" fillId="9" borderId="1" xfId="0" applyFont="1" applyFill="1" applyBorder="1" applyAlignment="1">
      <alignment horizontal="center" vertical="top" wrapText="1"/>
    </xf>
    <xf numFmtId="0" fontId="11" fillId="6"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6" fillId="6" borderId="1" xfId="0" applyFont="1" applyFill="1" applyBorder="1" applyAlignment="1">
      <alignment horizontal="center"/>
    </xf>
    <xf numFmtId="0" fontId="6" fillId="6" borderId="1" xfId="0" applyFont="1" applyFill="1" applyBorder="1" applyAlignment="1">
      <alignment horizontal="center" vertical="top" wrapText="1"/>
    </xf>
    <xf numFmtId="0" fontId="0" fillId="0" borderId="2" xfId="0" applyBorder="1"/>
    <xf numFmtId="0" fontId="11" fillId="5" borderId="3" xfId="0" applyFont="1" applyFill="1" applyBorder="1" applyAlignment="1">
      <alignment horizontal="center" vertical="top" wrapText="1"/>
    </xf>
    <xf numFmtId="0" fontId="11" fillId="5" borderId="5" xfId="0" applyFont="1" applyFill="1" applyBorder="1" applyAlignment="1">
      <alignment horizontal="center" vertical="top" wrapText="1"/>
    </xf>
    <xf numFmtId="0" fontId="11" fillId="6" borderId="3" xfId="0" applyFont="1" applyFill="1" applyBorder="1" applyAlignment="1">
      <alignment horizontal="center" vertical="top" wrapText="1"/>
    </xf>
    <xf numFmtId="0" fontId="11" fillId="6" borderId="5" xfId="0" applyFont="1" applyFill="1" applyBorder="1" applyAlignment="1">
      <alignment horizontal="center" vertical="top" wrapText="1"/>
    </xf>
    <xf numFmtId="0" fontId="7" fillId="4" borderId="1" xfId="0" applyFont="1" applyFill="1" applyBorder="1" applyAlignment="1">
      <alignment horizontal="center"/>
    </xf>
    <xf numFmtId="0" fontId="6" fillId="0" borderId="0" xfId="0" applyFont="1"/>
    <xf numFmtId="0" fontId="7" fillId="4" borderId="1" xfId="0" applyFont="1" applyFill="1" applyBorder="1" applyAlignment="1">
      <alignment horizontal="center" vertical="top" wrapText="1"/>
    </xf>
    <xf numFmtId="0" fontId="11" fillId="5" borderId="4" xfId="0" applyFont="1" applyFill="1" applyBorder="1" applyAlignment="1">
      <alignment horizontal="center" vertical="top" wrapText="1"/>
    </xf>
    <xf numFmtId="0" fontId="10" fillId="10" borderId="3" xfId="1" applyFont="1" applyFill="1" applyBorder="1" applyAlignment="1" applyProtection="1">
      <alignment horizontal="center" vertical="top" wrapText="1"/>
      <protection locked="0"/>
    </xf>
    <xf numFmtId="0" fontId="10" fillId="10" borderId="4" xfId="1" applyFont="1" applyFill="1" applyBorder="1" applyAlignment="1" applyProtection="1">
      <alignment horizontal="center" vertical="top" wrapText="1"/>
      <protection locked="0"/>
    </xf>
    <xf numFmtId="0" fontId="10" fillId="10" borderId="5" xfId="1" applyFont="1" applyFill="1" applyBorder="1" applyAlignment="1" applyProtection="1">
      <alignment horizontal="center" vertical="top" wrapText="1"/>
      <protection locked="0"/>
    </xf>
    <xf numFmtId="0" fontId="10" fillId="6" borderId="3" xfId="0" applyFont="1" applyFill="1" applyBorder="1" applyAlignment="1">
      <alignment horizontal="center" vertical="top" wrapText="1"/>
    </xf>
    <xf numFmtId="0" fontId="10" fillId="6" borderId="4" xfId="0" applyFont="1" applyFill="1" applyBorder="1" applyAlignment="1">
      <alignment horizontal="center" vertical="top" wrapText="1"/>
    </xf>
    <xf numFmtId="0" fontId="10" fillId="6" borderId="5" xfId="0" applyFont="1" applyFill="1" applyBorder="1" applyAlignment="1">
      <alignment horizontal="center" vertical="top" wrapText="1"/>
    </xf>
    <xf numFmtId="0" fontId="10" fillId="6" borderId="3" xfId="0" applyFont="1" applyFill="1" applyBorder="1" applyAlignment="1">
      <alignment horizontal="left" vertical="top" wrapText="1"/>
    </xf>
    <xf numFmtId="0" fontId="10" fillId="6" borderId="4" xfId="0" applyFont="1" applyFill="1" applyBorder="1" applyAlignment="1">
      <alignment horizontal="left" vertical="top" wrapText="1"/>
    </xf>
    <xf numFmtId="0" fontId="10" fillId="6" borderId="5" xfId="0" applyFont="1" applyFill="1" applyBorder="1" applyAlignment="1">
      <alignment horizontal="left" vertical="top" wrapText="1"/>
    </xf>
    <xf numFmtId="0" fontId="7" fillId="11" borderId="3" xfId="0" applyFont="1" applyFill="1" applyBorder="1" applyAlignment="1">
      <alignment horizontal="center" vertical="top" wrapText="1"/>
    </xf>
    <xf numFmtId="0" fontId="7" fillId="11" borderId="4" xfId="0" applyFont="1" applyFill="1" applyBorder="1" applyAlignment="1">
      <alignment horizontal="center" vertical="top" wrapText="1"/>
    </xf>
    <xf numFmtId="0" fontId="7" fillId="11" borderId="5" xfId="0" applyFont="1" applyFill="1" applyBorder="1" applyAlignment="1">
      <alignment horizontal="center" vertical="top" wrapText="1"/>
    </xf>
    <xf numFmtId="0" fontId="10" fillId="4" borderId="3" xfId="0" applyFont="1" applyFill="1" applyBorder="1" applyAlignment="1">
      <alignment horizontal="center" vertical="top" wrapText="1"/>
    </xf>
    <xf numFmtId="0" fontId="10" fillId="4" borderId="4" xfId="0" applyFont="1" applyFill="1" applyBorder="1" applyAlignment="1">
      <alignment horizontal="center" vertical="top" wrapText="1"/>
    </xf>
    <xf numFmtId="0" fontId="10" fillId="4" borderId="5" xfId="0" applyFont="1" applyFill="1" applyBorder="1" applyAlignment="1">
      <alignment horizontal="center" vertical="top" wrapText="1"/>
    </xf>
  </cellXfs>
  <cellStyles count="2">
    <cellStyle name="Normal" xfId="0" builtinId="0"/>
    <cellStyle name="Normal 2" xfId="1" xr:uid="{5263C74C-C3BF-49E8-ABEC-EDB42176A9E0}"/>
  </cellStyles>
  <dxfs count="0"/>
  <tableStyles count="0" defaultTableStyle="TableStyleMedium2" defaultPivotStyle="PivotStyleLight16"/>
  <colors>
    <mruColors>
      <color rgb="FF93D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28575</xdr:colOff>
      <xdr:row>0</xdr:row>
      <xdr:rowOff>1589913</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0" y="1"/>
          <a:ext cx="10601325" cy="15899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452330</xdr:colOff>
      <xdr:row>0</xdr:row>
      <xdr:rowOff>17397</xdr:rowOff>
    </xdr:from>
    <xdr:to>
      <xdr:col>10</xdr:col>
      <xdr:colOff>974248</xdr:colOff>
      <xdr:row>1</xdr:row>
      <xdr:rowOff>156575</xdr:rowOff>
    </xdr:to>
    <xdr:pic>
      <xdr:nvPicPr>
        <xdr:cNvPr id="5" name="Picture 4">
          <a:extLst>
            <a:ext uri="{FF2B5EF4-FFF2-40B4-BE49-F238E27FC236}">
              <a16:creationId xmlns:a16="http://schemas.microsoft.com/office/drawing/2014/main" id="{00000000-0008-0000-0000-000005000000}"/>
            </a:ext>
            <a:ext uri="{147F2762-F138-4A5C-976F-8EAC2B608ADB}">
              <a16:predDERef xmlns:a16="http://schemas.microsoft.com/office/drawing/2014/main" pred="{1082B6C2-A261-4EA6-AD19-454524B5DDC6}"/>
            </a:ext>
          </a:extLst>
        </xdr:cNvPr>
        <xdr:cNvPicPr/>
      </xdr:nvPicPr>
      <xdr:blipFill>
        <a:blip xmlns:r="http://schemas.openxmlformats.org/officeDocument/2006/relationships" r:embed="rId1"/>
        <a:stretch>
          <a:fillRect/>
        </a:stretch>
      </xdr:blipFill>
      <xdr:spPr>
        <a:xfrm>
          <a:off x="6654453" y="17397"/>
          <a:ext cx="4340616" cy="12091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17397</xdr:rowOff>
    </xdr:from>
    <xdr:to>
      <xdr:col>12</xdr:col>
      <xdr:colOff>556711</xdr:colOff>
      <xdr:row>1</xdr:row>
      <xdr:rowOff>156575</xdr:rowOff>
    </xdr:to>
    <xdr:pic>
      <xdr:nvPicPr>
        <xdr:cNvPr id="2" name="Picture 1">
          <a:extLst>
            <a:ext uri="{FF2B5EF4-FFF2-40B4-BE49-F238E27FC236}">
              <a16:creationId xmlns:a16="http://schemas.microsoft.com/office/drawing/2014/main" id="{89B51DDE-15F5-472E-AE02-24473E8A3B62}"/>
            </a:ext>
            <a:ext uri="{147F2762-F138-4A5C-976F-8EAC2B608ADB}">
              <a16:predDERef xmlns:a16="http://schemas.microsoft.com/office/drawing/2014/main" pred="{1082B6C2-A261-4EA6-AD19-454524B5DDC6}"/>
            </a:ext>
          </a:extLst>
        </xdr:cNvPr>
        <xdr:cNvPicPr/>
      </xdr:nvPicPr>
      <xdr:blipFill>
        <a:blip xmlns:r="http://schemas.openxmlformats.org/officeDocument/2006/relationships" r:embed="rId1"/>
        <a:stretch>
          <a:fillRect/>
        </a:stretch>
      </xdr:blipFill>
      <xdr:spPr>
        <a:xfrm>
          <a:off x="6446730" y="17397"/>
          <a:ext cx="4344618" cy="12059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chel Hermes" id="{5DE28718-F42D-4407-A9AB-473E04A1E33E}" userId="S::rachel.hermes@rotary.org::6a8b72a5-d701-4b9c-94a0-38ad987f9f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19-11-15T22:26:24.45" personId="{5DE28718-F42D-4407-A9AB-473E04A1E33E}" id="{CDACF8E6-714C-4375-96A0-D24319FBBA3D}">
    <text xml:space="preserve">What else is useful to know?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ustomProperty" Target="../customProperty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6"/>
  <sheetViews>
    <sheetView workbookViewId="0">
      <selection activeCell="I11" sqref="D3:I11"/>
    </sheetView>
  </sheetViews>
  <sheetFormatPr defaultRowHeight="14.4" x14ac:dyDescent="0.3"/>
  <cols>
    <col min="1" max="1" width="38.5546875" customWidth="1"/>
    <col min="2" max="2" width="120" customWidth="1"/>
  </cols>
  <sheetData>
    <row r="1" spans="1:2" ht="127.5" customHeight="1" x14ac:dyDescent="0.3">
      <c r="A1" s="69"/>
      <c r="B1" s="69"/>
    </row>
    <row r="2" spans="1:2" ht="15.6" x14ac:dyDescent="0.3">
      <c r="A2" s="3" t="s">
        <v>124</v>
      </c>
      <c r="B2" s="4" t="s">
        <v>125</v>
      </c>
    </row>
    <row r="3" spans="1:2" ht="15.6" x14ac:dyDescent="0.3">
      <c r="A3" s="3" t="s">
        <v>126</v>
      </c>
      <c r="B3" s="1" t="s">
        <v>127</v>
      </c>
    </row>
    <row r="4" spans="1:2" ht="31.2" x14ac:dyDescent="0.3">
      <c r="A4" s="3" t="s">
        <v>128</v>
      </c>
      <c r="B4" s="2" t="s">
        <v>129</v>
      </c>
    </row>
    <row r="5" spans="1:2" ht="31.2" x14ac:dyDescent="0.3">
      <c r="A5" s="3" t="s">
        <v>130</v>
      </c>
      <c r="B5" s="2" t="s">
        <v>131</v>
      </c>
    </row>
    <row r="6" spans="1:2" ht="15.6" x14ac:dyDescent="0.3">
      <c r="A6" s="3" t="s">
        <v>2</v>
      </c>
      <c r="B6" s="1" t="s">
        <v>132</v>
      </c>
    </row>
    <row r="7" spans="1:2" ht="78" x14ac:dyDescent="0.3">
      <c r="A7" s="3" t="s">
        <v>47</v>
      </c>
      <c r="B7" s="2" t="s">
        <v>133</v>
      </c>
    </row>
    <row r="8" spans="1:2" ht="15.6" x14ac:dyDescent="0.3">
      <c r="A8" s="3" t="s">
        <v>48</v>
      </c>
      <c r="B8" s="1" t="s">
        <v>134</v>
      </c>
    </row>
    <row r="9" spans="1:2" ht="15.6" x14ac:dyDescent="0.3">
      <c r="A9" s="3" t="s">
        <v>49</v>
      </c>
      <c r="B9" s="1" t="s">
        <v>135</v>
      </c>
    </row>
    <row r="10" spans="1:2" ht="15.6" x14ac:dyDescent="0.3">
      <c r="A10" s="3" t="s">
        <v>50</v>
      </c>
      <c r="B10" s="1" t="s">
        <v>136</v>
      </c>
    </row>
    <row r="11" spans="1:2" ht="31.2" x14ac:dyDescent="0.3">
      <c r="A11" s="3" t="s">
        <v>137</v>
      </c>
      <c r="B11" s="2" t="s">
        <v>138</v>
      </c>
    </row>
    <row r="12" spans="1:2" ht="15.6" x14ac:dyDescent="0.3">
      <c r="A12" s="3" t="s">
        <v>139</v>
      </c>
      <c r="B12" s="1" t="s">
        <v>140</v>
      </c>
    </row>
    <row r="13" spans="1:2" ht="62.4" x14ac:dyDescent="0.3">
      <c r="A13" s="3" t="s">
        <v>141</v>
      </c>
      <c r="B13" s="2" t="s">
        <v>142</v>
      </c>
    </row>
    <row r="14" spans="1:2" ht="46.8" x14ac:dyDescent="0.3">
      <c r="A14" s="3" t="s">
        <v>143</v>
      </c>
      <c r="B14" s="2" t="s">
        <v>144</v>
      </c>
    </row>
    <row r="15" spans="1:2" ht="31.2" x14ac:dyDescent="0.3">
      <c r="A15" s="3" t="s">
        <v>5</v>
      </c>
      <c r="B15" s="2" t="s">
        <v>145</v>
      </c>
    </row>
    <row r="16" spans="1:2" ht="15.6" x14ac:dyDescent="0.3">
      <c r="A16" s="3" t="s">
        <v>6</v>
      </c>
      <c r="B16" s="1" t="s">
        <v>146</v>
      </c>
    </row>
  </sheetData>
  <mergeCells count="1">
    <mergeCell ref="A1:B1"/>
  </mergeCells>
  <pageMargins left="0.7" right="0.7" top="0.75" bottom="0.75" header="0.3" footer="0.3"/>
  <customProperties>
    <customPr name="QAA_DRILLPATH_NODE_ID" r:id="rId1"/>
  </customPropertie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pageSetUpPr fitToPage="1"/>
  </sheetPr>
  <dimension ref="A1:O78"/>
  <sheetViews>
    <sheetView tabSelected="1" zoomScale="115" zoomScaleNormal="115" workbookViewId="0">
      <pane xSplit="2" ySplit="7" topLeftCell="C17" activePane="bottomRight" state="frozen"/>
      <selection pane="topRight" activeCell="C1" sqref="C1"/>
      <selection pane="bottomLeft" activeCell="A8" sqref="A8"/>
      <selection pane="bottomRight" activeCell="C19" sqref="C19"/>
    </sheetView>
  </sheetViews>
  <sheetFormatPr defaultColWidth="26.21875" defaultRowHeight="11.4" x14ac:dyDescent="0.2"/>
  <cols>
    <col min="1" max="1" width="23.21875" style="5" customWidth="1"/>
    <col min="2" max="2" width="14.21875" style="5" customWidth="1"/>
    <col min="3" max="3" width="15.77734375" style="49" customWidth="1"/>
    <col min="4" max="4" width="15.6640625" style="5" customWidth="1"/>
    <col min="5" max="5" width="16.88671875" style="5" customWidth="1"/>
    <col min="6" max="6" width="18.21875" style="5" customWidth="1"/>
    <col min="7" max="7" width="11.44140625" style="5" customWidth="1"/>
    <col min="8" max="10" width="8.33203125" style="5" customWidth="1"/>
    <col min="11" max="11" width="17.77734375" style="5" customWidth="1"/>
    <col min="12" max="12" width="19.21875" style="5" customWidth="1"/>
    <col min="13" max="13" width="15.33203125" style="5" customWidth="1"/>
    <col min="14" max="14" width="20.77734375" style="5" customWidth="1"/>
    <col min="15" max="15" width="22.33203125" style="5" customWidth="1"/>
    <col min="16" max="16384" width="26.21875" style="5"/>
  </cols>
  <sheetData>
    <row r="1" spans="1:15" ht="84" customHeight="1" x14ac:dyDescent="0.2">
      <c r="A1" s="75"/>
      <c r="B1" s="75"/>
      <c r="C1" s="75"/>
      <c r="D1" s="75"/>
      <c r="E1" s="75"/>
      <c r="F1" s="75"/>
      <c r="G1" s="75"/>
      <c r="H1" s="75"/>
      <c r="I1" s="75"/>
      <c r="J1" s="75"/>
      <c r="K1" s="75"/>
      <c r="L1" s="75"/>
      <c r="M1" s="75"/>
      <c r="N1" s="75"/>
      <c r="O1" s="75"/>
    </row>
    <row r="2" spans="1:15" ht="14.55" customHeight="1" x14ac:dyDescent="0.2">
      <c r="A2" s="75"/>
      <c r="B2" s="75"/>
      <c r="C2" s="75"/>
      <c r="D2" s="75"/>
      <c r="E2" s="75"/>
      <c r="F2" s="75"/>
      <c r="G2" s="75"/>
      <c r="H2" s="75"/>
      <c r="I2" s="75"/>
      <c r="J2" s="75"/>
      <c r="K2" s="75"/>
      <c r="L2" s="75"/>
      <c r="M2" s="75"/>
      <c r="N2" s="75"/>
      <c r="O2" s="75"/>
    </row>
    <row r="3" spans="1:15" ht="11.25" customHeight="1" x14ac:dyDescent="0.2">
      <c r="A3" s="75"/>
      <c r="B3" s="75"/>
      <c r="C3" s="75"/>
      <c r="D3" s="75"/>
      <c r="E3" s="75"/>
      <c r="F3" s="75"/>
      <c r="G3" s="75"/>
      <c r="H3" s="75"/>
      <c r="I3" s="75"/>
      <c r="J3" s="75"/>
      <c r="K3" s="75"/>
      <c r="L3" s="75"/>
      <c r="M3" s="75"/>
      <c r="N3" s="75"/>
      <c r="O3" s="75"/>
    </row>
    <row r="4" spans="1:15" ht="15" hidden="1" customHeight="1" x14ac:dyDescent="0.2">
      <c r="A4" s="75"/>
      <c r="B4" s="75"/>
      <c r="C4" s="75"/>
      <c r="D4" s="75"/>
      <c r="E4" s="75"/>
      <c r="F4" s="75"/>
      <c r="G4" s="75"/>
      <c r="H4" s="75"/>
      <c r="I4" s="75"/>
      <c r="J4" s="75"/>
      <c r="K4" s="75"/>
      <c r="L4" s="75"/>
      <c r="M4" s="75"/>
      <c r="N4" s="75"/>
      <c r="O4" s="75"/>
    </row>
    <row r="5" spans="1:15" ht="15" hidden="1" customHeight="1" x14ac:dyDescent="0.2">
      <c r="A5" s="75"/>
      <c r="B5" s="75"/>
      <c r="C5" s="75"/>
      <c r="D5" s="75"/>
      <c r="E5" s="75"/>
      <c r="F5" s="75"/>
      <c r="G5" s="75"/>
      <c r="H5" s="75"/>
      <c r="I5" s="75"/>
      <c r="J5" s="75"/>
      <c r="K5" s="75"/>
      <c r="L5" s="75"/>
      <c r="M5" s="75"/>
      <c r="N5" s="75"/>
      <c r="O5" s="75"/>
    </row>
    <row r="6" spans="1:15" ht="12" x14ac:dyDescent="0.25">
      <c r="A6" s="74" t="s">
        <v>0</v>
      </c>
      <c r="B6" s="74"/>
      <c r="C6" s="74"/>
      <c r="D6" s="74" t="s">
        <v>46</v>
      </c>
      <c r="E6" s="74"/>
      <c r="F6" s="74"/>
      <c r="G6" s="74"/>
      <c r="H6" s="74"/>
      <c r="I6" s="74"/>
      <c r="J6" s="74"/>
      <c r="K6" s="74"/>
      <c r="L6" s="74"/>
      <c r="M6" s="74"/>
      <c r="N6" s="74"/>
      <c r="O6" s="74"/>
    </row>
    <row r="7" spans="1:15" s="7" customFormat="1" ht="48" x14ac:dyDescent="0.25">
      <c r="A7" s="6" t="s">
        <v>1</v>
      </c>
      <c r="B7" s="51" t="s">
        <v>2</v>
      </c>
      <c r="C7" s="51" t="s">
        <v>47</v>
      </c>
      <c r="D7" s="51" t="s">
        <v>48</v>
      </c>
      <c r="E7" s="51" t="s">
        <v>49</v>
      </c>
      <c r="F7" s="51" t="s">
        <v>50</v>
      </c>
      <c r="G7" s="52" t="s">
        <v>51</v>
      </c>
      <c r="H7" s="53" t="s">
        <v>303</v>
      </c>
      <c r="I7" s="53" t="s">
        <v>304</v>
      </c>
      <c r="J7" s="53" t="s">
        <v>305</v>
      </c>
      <c r="K7" s="53" t="s">
        <v>52</v>
      </c>
      <c r="L7" s="51" t="s">
        <v>3</v>
      </c>
      <c r="M7" s="51" t="s">
        <v>4</v>
      </c>
      <c r="N7" s="51" t="s">
        <v>5</v>
      </c>
      <c r="O7" s="51" t="s">
        <v>6</v>
      </c>
    </row>
    <row r="8" spans="1:15" s="13" customFormat="1" ht="109.95" customHeight="1" x14ac:dyDescent="0.25">
      <c r="A8" s="8" t="s">
        <v>147</v>
      </c>
      <c r="B8" s="9"/>
      <c r="C8" s="10"/>
      <c r="D8" s="10"/>
      <c r="E8" s="10"/>
      <c r="F8" s="10"/>
      <c r="G8" s="11" t="s">
        <v>262</v>
      </c>
      <c r="H8" s="12"/>
      <c r="I8" s="12"/>
      <c r="J8" s="12"/>
      <c r="K8" s="12"/>
      <c r="L8" s="10"/>
      <c r="M8" s="10"/>
      <c r="N8" s="10"/>
      <c r="O8" s="10"/>
    </row>
    <row r="9" spans="1:15" s="17" customFormat="1" ht="49.95" customHeight="1" x14ac:dyDescent="0.3">
      <c r="A9" s="90" t="s">
        <v>306</v>
      </c>
      <c r="B9" s="14" t="s">
        <v>7</v>
      </c>
      <c r="C9" s="15" t="s">
        <v>53</v>
      </c>
      <c r="D9" s="14" t="s">
        <v>54</v>
      </c>
      <c r="E9" s="16" t="s">
        <v>59</v>
      </c>
      <c r="F9" s="14" t="s">
        <v>338</v>
      </c>
      <c r="G9" s="54">
        <v>3.59</v>
      </c>
      <c r="H9" s="55">
        <v>2.5</v>
      </c>
      <c r="I9" s="55">
        <v>1.5</v>
      </c>
      <c r="J9" s="55">
        <v>1</v>
      </c>
      <c r="K9" s="55">
        <v>0.5</v>
      </c>
      <c r="L9" s="15" t="s">
        <v>8</v>
      </c>
      <c r="M9" s="14" t="s">
        <v>9</v>
      </c>
      <c r="N9" s="14" t="s">
        <v>10</v>
      </c>
      <c r="O9" s="15" t="s">
        <v>57</v>
      </c>
    </row>
    <row r="10" spans="1:15" s="17" customFormat="1" ht="61.95" customHeight="1" x14ac:dyDescent="0.3">
      <c r="A10" s="91"/>
      <c r="B10" s="14" t="s">
        <v>7</v>
      </c>
      <c r="C10" s="15" t="s">
        <v>58</v>
      </c>
      <c r="D10" s="14" t="s">
        <v>54</v>
      </c>
      <c r="E10" s="16" t="s">
        <v>59</v>
      </c>
      <c r="F10" s="14" t="s">
        <v>339</v>
      </c>
      <c r="G10" s="54">
        <v>0.19</v>
      </c>
      <c r="H10" s="55">
        <v>0.01</v>
      </c>
      <c r="I10" s="55">
        <v>8.0000000000000002E-3</v>
      </c>
      <c r="J10" s="55">
        <v>5.0000000000000001E-3</v>
      </c>
      <c r="K10" s="55">
        <v>2E-3</v>
      </c>
      <c r="L10" s="15" t="s">
        <v>8</v>
      </c>
      <c r="M10" s="14" t="s">
        <v>9</v>
      </c>
      <c r="N10" s="14" t="s">
        <v>10</v>
      </c>
      <c r="O10" s="15" t="s">
        <v>57</v>
      </c>
    </row>
    <row r="11" spans="1:15" s="19" customFormat="1" ht="61.95" customHeight="1" x14ac:dyDescent="0.3">
      <c r="A11" s="91"/>
      <c r="B11" s="18" t="s">
        <v>7</v>
      </c>
      <c r="C11" s="15" t="s">
        <v>264</v>
      </c>
      <c r="D11" s="18" t="s">
        <v>54</v>
      </c>
      <c r="E11" s="16" t="s">
        <v>59</v>
      </c>
      <c r="F11" s="18" t="s">
        <v>340</v>
      </c>
      <c r="G11" s="54">
        <v>0.22</v>
      </c>
      <c r="H11" s="56">
        <v>0.12</v>
      </c>
      <c r="I11" s="55">
        <v>0.08</v>
      </c>
      <c r="J11" s="55">
        <v>0.06</v>
      </c>
      <c r="K11" s="55">
        <v>0.04</v>
      </c>
      <c r="L11" s="16" t="s">
        <v>11</v>
      </c>
      <c r="M11" s="18" t="s">
        <v>12</v>
      </c>
      <c r="N11" s="18" t="s">
        <v>10</v>
      </c>
      <c r="O11" s="16" t="s">
        <v>57</v>
      </c>
    </row>
    <row r="12" spans="1:15" s="19" customFormat="1" ht="61.95" customHeight="1" x14ac:dyDescent="0.3">
      <c r="A12" s="91"/>
      <c r="B12" s="18" t="s">
        <v>246</v>
      </c>
      <c r="C12" s="20" t="s">
        <v>249</v>
      </c>
      <c r="D12" s="18" t="s">
        <v>54</v>
      </c>
      <c r="E12" s="16" t="s">
        <v>59</v>
      </c>
      <c r="F12" s="14" t="s">
        <v>259</v>
      </c>
      <c r="G12" s="54">
        <v>28.8</v>
      </c>
      <c r="H12" s="56">
        <v>20</v>
      </c>
      <c r="I12" s="55">
        <v>12</v>
      </c>
      <c r="J12" s="55">
        <v>8</v>
      </c>
      <c r="K12" s="55">
        <v>5</v>
      </c>
      <c r="L12" s="21" t="s">
        <v>247</v>
      </c>
      <c r="M12" s="18" t="s">
        <v>12</v>
      </c>
      <c r="N12" s="18" t="s">
        <v>10</v>
      </c>
      <c r="O12" s="16" t="s">
        <v>57</v>
      </c>
    </row>
    <row r="13" spans="1:15" s="19" customFormat="1" ht="61.95" customHeight="1" x14ac:dyDescent="0.3">
      <c r="A13" s="91"/>
      <c r="B13" s="18" t="s">
        <v>246</v>
      </c>
      <c r="C13" s="20" t="s">
        <v>250</v>
      </c>
      <c r="D13" s="18" t="s">
        <v>54</v>
      </c>
      <c r="E13" s="16" t="s">
        <v>59</v>
      </c>
      <c r="F13" s="14" t="s">
        <v>260</v>
      </c>
      <c r="G13" s="54">
        <v>15.65</v>
      </c>
      <c r="H13" s="56">
        <v>11</v>
      </c>
      <c r="I13" s="55">
        <v>8</v>
      </c>
      <c r="J13" s="55">
        <v>6</v>
      </c>
      <c r="K13" s="55">
        <v>3</v>
      </c>
      <c r="L13" s="21" t="s">
        <v>247</v>
      </c>
      <c r="M13" s="18" t="s">
        <v>12</v>
      </c>
      <c r="N13" s="18" t="s">
        <v>10</v>
      </c>
      <c r="O13" s="16" t="s">
        <v>57</v>
      </c>
    </row>
    <row r="14" spans="1:15" s="19" customFormat="1" ht="61.95" customHeight="1" x14ac:dyDescent="0.3">
      <c r="A14" s="92"/>
      <c r="B14" s="18" t="s">
        <v>246</v>
      </c>
      <c r="C14" s="20" t="s">
        <v>251</v>
      </c>
      <c r="D14" s="18" t="s">
        <v>54</v>
      </c>
      <c r="E14" s="16" t="s">
        <v>59</v>
      </c>
      <c r="F14" s="14" t="s">
        <v>261</v>
      </c>
      <c r="G14" s="54">
        <v>52.18</v>
      </c>
      <c r="H14" s="56">
        <v>35</v>
      </c>
      <c r="I14" s="55">
        <v>20</v>
      </c>
      <c r="J14" s="55">
        <v>10</v>
      </c>
      <c r="K14" s="55">
        <v>5</v>
      </c>
      <c r="L14" s="21" t="s">
        <v>247</v>
      </c>
      <c r="M14" s="18" t="s">
        <v>12</v>
      </c>
      <c r="N14" s="18" t="s">
        <v>10</v>
      </c>
      <c r="O14" s="16" t="s">
        <v>57</v>
      </c>
    </row>
    <row r="15" spans="1:15" s="19" customFormat="1" ht="68.400000000000006" x14ac:dyDescent="0.3">
      <c r="A15" s="76" t="s">
        <v>307</v>
      </c>
      <c r="B15" s="18" t="s">
        <v>248</v>
      </c>
      <c r="C15" s="20" t="s">
        <v>252</v>
      </c>
      <c r="D15" s="18" t="s">
        <v>54</v>
      </c>
      <c r="E15" s="16" t="s">
        <v>59</v>
      </c>
      <c r="F15" s="14" t="s">
        <v>254</v>
      </c>
      <c r="G15" s="58">
        <v>4.1900000000000004</v>
      </c>
      <c r="H15" s="56">
        <v>3.5</v>
      </c>
      <c r="I15" s="55">
        <v>3</v>
      </c>
      <c r="J15" s="55">
        <v>2.5</v>
      </c>
      <c r="K15" s="55">
        <v>2</v>
      </c>
      <c r="L15" s="15" t="s">
        <v>8</v>
      </c>
      <c r="M15" s="57" t="s">
        <v>257</v>
      </c>
      <c r="N15" s="18" t="s">
        <v>258</v>
      </c>
      <c r="O15" s="15" t="s">
        <v>57</v>
      </c>
    </row>
    <row r="16" spans="1:15" s="19" customFormat="1" ht="68.400000000000006" x14ac:dyDescent="0.3">
      <c r="A16" s="76"/>
      <c r="B16" s="18" t="s">
        <v>248</v>
      </c>
      <c r="C16" s="20" t="s">
        <v>271</v>
      </c>
      <c r="D16" s="18" t="s">
        <v>54</v>
      </c>
      <c r="E16" s="16" t="s">
        <v>59</v>
      </c>
      <c r="F16" s="14" t="s">
        <v>255</v>
      </c>
      <c r="G16" s="54">
        <v>0.78</v>
      </c>
      <c r="H16" s="56">
        <v>0.5</v>
      </c>
      <c r="I16" s="55">
        <v>0.3</v>
      </c>
      <c r="J16" s="55">
        <v>0.15</v>
      </c>
      <c r="K16" s="55">
        <v>0.1</v>
      </c>
      <c r="L16" s="15" t="s">
        <v>8</v>
      </c>
      <c r="M16" s="57" t="s">
        <v>257</v>
      </c>
      <c r="N16" s="18" t="s">
        <v>258</v>
      </c>
      <c r="O16" s="15" t="s">
        <v>57</v>
      </c>
    </row>
    <row r="17" spans="1:15" s="19" customFormat="1" ht="68.400000000000006" x14ac:dyDescent="0.3">
      <c r="A17" s="76"/>
      <c r="B17" s="18" t="s">
        <v>248</v>
      </c>
      <c r="C17" s="20" t="s">
        <v>253</v>
      </c>
      <c r="D17" s="18" t="s">
        <v>54</v>
      </c>
      <c r="E17" s="16" t="s">
        <v>59</v>
      </c>
      <c r="F17" s="14" t="s">
        <v>256</v>
      </c>
      <c r="G17" s="54">
        <v>1.74</v>
      </c>
      <c r="H17" s="56">
        <v>1.5</v>
      </c>
      <c r="I17" s="55">
        <v>1.3</v>
      </c>
      <c r="J17" s="55">
        <v>1.1000000000000001</v>
      </c>
      <c r="K17" s="55">
        <v>0.5</v>
      </c>
      <c r="L17" s="15" t="s">
        <v>8</v>
      </c>
      <c r="M17" s="57" t="s">
        <v>257</v>
      </c>
      <c r="N17" s="18" t="s">
        <v>258</v>
      </c>
      <c r="O17" s="15" t="s">
        <v>57</v>
      </c>
    </row>
    <row r="18" spans="1:15" s="24" customFormat="1" ht="84.75" customHeight="1" x14ac:dyDescent="0.3">
      <c r="A18" s="87" t="s">
        <v>158</v>
      </c>
      <c r="B18" s="22" t="s">
        <v>243</v>
      </c>
      <c r="C18" s="23" t="s">
        <v>172</v>
      </c>
      <c r="D18" s="22" t="s">
        <v>54</v>
      </c>
      <c r="E18" s="23" t="s">
        <v>59</v>
      </c>
      <c r="F18" s="22" t="s">
        <v>200</v>
      </c>
      <c r="G18" s="59">
        <v>0</v>
      </c>
      <c r="H18" s="60">
        <v>0.25</v>
      </c>
      <c r="I18" s="60">
        <v>0.5</v>
      </c>
      <c r="J18" s="60">
        <v>0.7</v>
      </c>
      <c r="K18" s="60">
        <v>0.8</v>
      </c>
      <c r="L18" s="23" t="s">
        <v>61</v>
      </c>
      <c r="M18" s="23" t="s">
        <v>62</v>
      </c>
      <c r="N18" s="22" t="s">
        <v>10</v>
      </c>
      <c r="O18" s="23" t="s">
        <v>57</v>
      </c>
    </row>
    <row r="19" spans="1:15" s="24" customFormat="1" ht="84.75" customHeight="1" x14ac:dyDescent="0.3">
      <c r="A19" s="88"/>
      <c r="B19" s="22" t="s">
        <v>244</v>
      </c>
      <c r="C19" s="23" t="s">
        <v>172</v>
      </c>
      <c r="D19" s="22" t="s">
        <v>54</v>
      </c>
      <c r="E19" s="23" t="s">
        <v>59</v>
      </c>
      <c r="F19" s="22" t="s">
        <v>200</v>
      </c>
      <c r="G19" s="59">
        <v>0</v>
      </c>
      <c r="H19" s="60">
        <v>0.2</v>
      </c>
      <c r="I19" s="60">
        <v>0.4</v>
      </c>
      <c r="J19" s="60">
        <v>0.5</v>
      </c>
      <c r="K19" s="60">
        <v>0.6</v>
      </c>
      <c r="L19" s="23" t="s">
        <v>61</v>
      </c>
      <c r="M19" s="23" t="s">
        <v>62</v>
      </c>
      <c r="N19" s="22" t="s">
        <v>10</v>
      </c>
      <c r="O19" s="23" t="s">
        <v>57</v>
      </c>
    </row>
    <row r="20" spans="1:15" s="24" customFormat="1" ht="84.75" customHeight="1" x14ac:dyDescent="0.3">
      <c r="A20" s="88"/>
      <c r="B20" s="22" t="s">
        <v>245</v>
      </c>
      <c r="C20" s="23" t="s">
        <v>172</v>
      </c>
      <c r="D20" s="22" t="s">
        <v>54</v>
      </c>
      <c r="E20" s="23" t="s">
        <v>59</v>
      </c>
      <c r="F20" s="22" t="s">
        <v>200</v>
      </c>
      <c r="G20" s="59">
        <v>0</v>
      </c>
      <c r="H20" s="60">
        <v>0.3</v>
      </c>
      <c r="I20" s="60">
        <v>0.6</v>
      </c>
      <c r="J20" s="60">
        <v>0.8</v>
      </c>
      <c r="K20" s="60">
        <v>0.9</v>
      </c>
      <c r="L20" s="23" t="s">
        <v>61</v>
      </c>
      <c r="M20" s="23" t="s">
        <v>62</v>
      </c>
      <c r="N20" s="22" t="s">
        <v>10</v>
      </c>
      <c r="O20" s="23" t="s">
        <v>57</v>
      </c>
    </row>
    <row r="21" spans="1:15" s="24" customFormat="1" ht="84.75" customHeight="1" x14ac:dyDescent="0.3">
      <c r="A21" s="88"/>
      <c r="B21" s="22" t="s">
        <v>173</v>
      </c>
      <c r="C21" s="23" t="s">
        <v>174</v>
      </c>
      <c r="D21" s="22" t="s">
        <v>54</v>
      </c>
      <c r="E21" s="23" t="s">
        <v>177</v>
      </c>
      <c r="F21" s="22" t="s">
        <v>175</v>
      </c>
      <c r="G21" s="59">
        <v>0</v>
      </c>
      <c r="H21" s="59" t="s">
        <v>56</v>
      </c>
      <c r="I21" s="59" t="s">
        <v>56</v>
      </c>
      <c r="J21" s="59" t="s">
        <v>56</v>
      </c>
      <c r="K21" s="59" t="s">
        <v>56</v>
      </c>
      <c r="L21" s="23" t="s">
        <v>8</v>
      </c>
      <c r="M21" s="22" t="s">
        <v>9</v>
      </c>
      <c r="N21" s="22" t="s">
        <v>10</v>
      </c>
      <c r="O21" s="23" t="s">
        <v>57</v>
      </c>
    </row>
    <row r="22" spans="1:15" s="24" customFormat="1" ht="84.75" customHeight="1" x14ac:dyDescent="0.3">
      <c r="A22" s="88"/>
      <c r="B22" s="22" t="s">
        <v>178</v>
      </c>
      <c r="C22" s="23" t="s">
        <v>176</v>
      </c>
      <c r="D22" s="22" t="s">
        <v>54</v>
      </c>
      <c r="E22" s="23" t="s">
        <v>166</v>
      </c>
      <c r="F22" s="22" t="s">
        <v>179</v>
      </c>
      <c r="G22" s="59">
        <v>0</v>
      </c>
      <c r="H22" s="59" t="s">
        <v>56</v>
      </c>
      <c r="I22" s="59" t="s">
        <v>56</v>
      </c>
      <c r="J22" s="59" t="s">
        <v>56</v>
      </c>
      <c r="K22" s="59" t="s">
        <v>56</v>
      </c>
      <c r="L22" s="23" t="s">
        <v>8</v>
      </c>
      <c r="M22" s="22" t="s">
        <v>9</v>
      </c>
      <c r="N22" s="22" t="s">
        <v>10</v>
      </c>
      <c r="O22" s="23" t="s">
        <v>57</v>
      </c>
    </row>
    <row r="23" spans="1:15" s="24" customFormat="1" ht="84.75" customHeight="1" x14ac:dyDescent="0.3">
      <c r="A23" s="88"/>
      <c r="B23" s="25" t="s">
        <v>148</v>
      </c>
      <c r="C23" s="26" t="s">
        <v>68</v>
      </c>
      <c r="D23" s="25" t="s">
        <v>54</v>
      </c>
      <c r="E23" s="26" t="s">
        <v>64</v>
      </c>
      <c r="F23" s="25" t="s">
        <v>69</v>
      </c>
      <c r="G23" s="61">
        <v>0</v>
      </c>
      <c r="H23" s="61" t="s">
        <v>56</v>
      </c>
      <c r="I23" s="61" t="s">
        <v>56</v>
      </c>
      <c r="J23" s="61" t="s">
        <v>56</v>
      </c>
      <c r="K23" s="61" t="s">
        <v>56</v>
      </c>
      <c r="L23" s="26" t="s">
        <v>66</v>
      </c>
      <c r="M23" s="26" t="s">
        <v>67</v>
      </c>
      <c r="N23" s="25" t="s">
        <v>10</v>
      </c>
      <c r="O23" s="26" t="s">
        <v>57</v>
      </c>
    </row>
    <row r="24" spans="1:15" s="24" customFormat="1" ht="84.75" customHeight="1" x14ac:dyDescent="0.3">
      <c r="A24" s="88"/>
      <c r="B24" s="25" t="s">
        <v>149</v>
      </c>
      <c r="C24" s="26" t="s">
        <v>161</v>
      </c>
      <c r="D24" s="25" t="s">
        <v>54</v>
      </c>
      <c r="E24" s="26" t="s">
        <v>55</v>
      </c>
      <c r="F24" s="25" t="s">
        <v>71</v>
      </c>
      <c r="G24" s="61">
        <v>0</v>
      </c>
      <c r="H24" s="61">
        <v>30</v>
      </c>
      <c r="I24" s="61">
        <v>50</v>
      </c>
      <c r="J24" s="61">
        <v>70</v>
      </c>
      <c r="K24" s="61">
        <v>70</v>
      </c>
      <c r="L24" s="26" t="s">
        <v>13</v>
      </c>
      <c r="M24" s="25" t="s">
        <v>12</v>
      </c>
      <c r="N24" s="25" t="s">
        <v>10</v>
      </c>
      <c r="O24" s="26" t="s">
        <v>57</v>
      </c>
    </row>
    <row r="25" spans="1:15" s="24" customFormat="1" ht="152.55000000000001" customHeight="1" x14ac:dyDescent="0.3">
      <c r="A25" s="88"/>
      <c r="B25" s="25" t="s">
        <v>150</v>
      </c>
      <c r="C25" s="26" t="s">
        <v>63</v>
      </c>
      <c r="D25" s="25" t="s">
        <v>54</v>
      </c>
      <c r="E25" s="26" t="s">
        <v>64</v>
      </c>
      <c r="F25" s="25" t="s">
        <v>65</v>
      </c>
      <c r="G25" s="61">
        <v>0</v>
      </c>
      <c r="H25" s="61" t="s">
        <v>56</v>
      </c>
      <c r="I25" s="61" t="s">
        <v>56</v>
      </c>
      <c r="J25" s="61" t="s">
        <v>56</v>
      </c>
      <c r="K25" s="61" t="s">
        <v>56</v>
      </c>
      <c r="L25" s="26" t="s">
        <v>66</v>
      </c>
      <c r="M25" s="26" t="s">
        <v>67</v>
      </c>
      <c r="N25" s="25" t="s">
        <v>10</v>
      </c>
      <c r="O25" s="26" t="s">
        <v>57</v>
      </c>
    </row>
    <row r="26" spans="1:15" s="24" customFormat="1" ht="97.05" customHeight="1" x14ac:dyDescent="0.3">
      <c r="A26" s="88"/>
      <c r="B26" s="25" t="s">
        <v>268</v>
      </c>
      <c r="C26" s="26" t="s">
        <v>70</v>
      </c>
      <c r="D26" s="25" t="s">
        <v>54</v>
      </c>
      <c r="E26" s="26" t="s">
        <v>55</v>
      </c>
      <c r="F26" s="25" t="s">
        <v>71</v>
      </c>
      <c r="G26" s="61">
        <v>0</v>
      </c>
      <c r="H26" s="61">
        <v>30</v>
      </c>
      <c r="I26" s="61">
        <v>50</v>
      </c>
      <c r="J26" s="61">
        <v>70</v>
      </c>
      <c r="K26" s="61">
        <v>70</v>
      </c>
      <c r="L26" s="26" t="s">
        <v>13</v>
      </c>
      <c r="M26" s="25" t="s">
        <v>12</v>
      </c>
      <c r="N26" s="25" t="s">
        <v>10</v>
      </c>
      <c r="O26" s="26" t="s">
        <v>57</v>
      </c>
    </row>
    <row r="27" spans="1:15" s="24" customFormat="1" ht="94.05" customHeight="1" x14ac:dyDescent="0.3">
      <c r="A27" s="88"/>
      <c r="B27" s="25" t="s">
        <v>269</v>
      </c>
      <c r="C27" s="26" t="s">
        <v>72</v>
      </c>
      <c r="D27" s="25" t="s">
        <v>54</v>
      </c>
      <c r="E27" s="26" t="s">
        <v>55</v>
      </c>
      <c r="F27" s="25" t="s">
        <v>71</v>
      </c>
      <c r="G27" s="61">
        <v>0</v>
      </c>
      <c r="H27" s="61">
        <v>30</v>
      </c>
      <c r="I27" s="61">
        <v>50</v>
      </c>
      <c r="J27" s="61">
        <v>70</v>
      </c>
      <c r="K27" s="61">
        <v>70</v>
      </c>
      <c r="L27" s="26" t="s">
        <v>13</v>
      </c>
      <c r="M27" s="25" t="s">
        <v>12</v>
      </c>
      <c r="N27" s="25" t="s">
        <v>10</v>
      </c>
      <c r="O27" s="26" t="s">
        <v>57</v>
      </c>
    </row>
    <row r="28" spans="1:15" s="24" customFormat="1" ht="88.05" customHeight="1" x14ac:dyDescent="0.3">
      <c r="A28" s="88"/>
      <c r="B28" s="25" t="s">
        <v>270</v>
      </c>
      <c r="C28" s="26" t="s">
        <v>267</v>
      </c>
      <c r="D28" s="25" t="s">
        <v>54</v>
      </c>
      <c r="E28" s="25" t="s">
        <v>59</v>
      </c>
      <c r="F28" s="25" t="s">
        <v>71</v>
      </c>
      <c r="G28" s="61">
        <v>0</v>
      </c>
      <c r="H28" s="61">
        <v>30</v>
      </c>
      <c r="I28" s="61">
        <v>50</v>
      </c>
      <c r="J28" s="61">
        <v>70</v>
      </c>
      <c r="K28" s="61">
        <v>70</v>
      </c>
      <c r="L28" s="26" t="s">
        <v>13</v>
      </c>
      <c r="M28" s="25" t="s">
        <v>12</v>
      </c>
      <c r="N28" s="25" t="s">
        <v>10</v>
      </c>
      <c r="O28" s="26" t="s">
        <v>57</v>
      </c>
    </row>
    <row r="29" spans="1:15" s="29" customFormat="1" ht="75.75" customHeight="1" x14ac:dyDescent="0.3">
      <c r="A29" s="88"/>
      <c r="B29" s="27" t="s">
        <v>167</v>
      </c>
      <c r="C29" s="27" t="s">
        <v>193</v>
      </c>
      <c r="D29" s="27" t="s">
        <v>54</v>
      </c>
      <c r="E29" s="27" t="s">
        <v>180</v>
      </c>
      <c r="F29" s="27" t="s">
        <v>184</v>
      </c>
      <c r="G29" s="62">
        <v>0</v>
      </c>
      <c r="H29" s="62">
        <v>30</v>
      </c>
      <c r="I29" s="62">
        <v>50</v>
      </c>
      <c r="J29" s="62">
        <v>80</v>
      </c>
      <c r="K29" s="62">
        <v>80</v>
      </c>
      <c r="L29" s="27" t="s">
        <v>185</v>
      </c>
      <c r="M29" s="28" t="s">
        <v>16</v>
      </c>
      <c r="N29" s="27" t="s">
        <v>206</v>
      </c>
      <c r="O29" s="28" t="s">
        <v>57</v>
      </c>
    </row>
    <row r="30" spans="1:15" s="29" customFormat="1" ht="75.75" customHeight="1" x14ac:dyDescent="0.3">
      <c r="A30" s="88"/>
      <c r="B30" s="27" t="s">
        <v>169</v>
      </c>
      <c r="C30" s="27" t="s">
        <v>194</v>
      </c>
      <c r="D30" s="27" t="s">
        <v>54</v>
      </c>
      <c r="E30" s="27" t="s">
        <v>168</v>
      </c>
      <c r="F30" s="27" t="s">
        <v>191</v>
      </c>
      <c r="G30" s="62">
        <v>0</v>
      </c>
      <c r="H30" s="62">
        <v>80</v>
      </c>
      <c r="I30" s="62">
        <v>100</v>
      </c>
      <c r="J30" s="62">
        <v>100</v>
      </c>
      <c r="K30" s="62">
        <v>100</v>
      </c>
      <c r="L30" s="27" t="s">
        <v>192</v>
      </c>
      <c r="M30" s="28" t="s">
        <v>16</v>
      </c>
      <c r="N30" s="27" t="s">
        <v>10</v>
      </c>
      <c r="O30" s="28" t="s">
        <v>57</v>
      </c>
    </row>
    <row r="31" spans="1:15" s="30" customFormat="1" ht="75.75" customHeight="1" x14ac:dyDescent="0.3">
      <c r="A31" s="89"/>
      <c r="B31" s="27" t="s">
        <v>170</v>
      </c>
      <c r="C31" s="27" t="s">
        <v>197</v>
      </c>
      <c r="D31" s="27" t="s">
        <v>54</v>
      </c>
      <c r="E31" s="27" t="s">
        <v>171</v>
      </c>
      <c r="F31" s="27" t="s">
        <v>198</v>
      </c>
      <c r="G31" s="62">
        <v>0</v>
      </c>
      <c r="H31" s="62">
        <v>80</v>
      </c>
      <c r="I31" s="62">
        <v>90</v>
      </c>
      <c r="J31" s="62">
        <v>100</v>
      </c>
      <c r="K31" s="62">
        <v>100</v>
      </c>
      <c r="L31" s="27" t="s">
        <v>199</v>
      </c>
      <c r="M31" s="27" t="s">
        <v>12</v>
      </c>
      <c r="N31" s="27" t="s">
        <v>207</v>
      </c>
      <c r="O31" s="28" t="s">
        <v>57</v>
      </c>
    </row>
    <row r="32" spans="1:15" s="33" customFormat="1" ht="79.8" x14ac:dyDescent="0.3">
      <c r="A32" s="31" t="s">
        <v>73</v>
      </c>
      <c r="B32" s="31" t="s">
        <v>14</v>
      </c>
      <c r="C32" s="31" t="s">
        <v>74</v>
      </c>
      <c r="D32" s="31" t="s">
        <v>75</v>
      </c>
      <c r="E32" s="32" t="s">
        <v>55</v>
      </c>
      <c r="F32" s="31" t="s">
        <v>76</v>
      </c>
      <c r="G32" s="63">
        <v>0</v>
      </c>
      <c r="H32" s="63">
        <v>2086</v>
      </c>
      <c r="I32" s="63">
        <v>0</v>
      </c>
      <c r="J32" s="63">
        <v>0</v>
      </c>
      <c r="K32" s="63">
        <v>2086</v>
      </c>
      <c r="L32" s="32" t="s">
        <v>15</v>
      </c>
      <c r="M32" s="32" t="s">
        <v>16</v>
      </c>
      <c r="N32" s="31" t="s">
        <v>10</v>
      </c>
      <c r="O32" s="32" t="s">
        <v>77</v>
      </c>
    </row>
    <row r="33" spans="1:15" s="33" customFormat="1" ht="79.8" x14ac:dyDescent="0.3">
      <c r="A33" s="31" t="s">
        <v>309</v>
      </c>
      <c r="B33" s="31" t="s">
        <v>17</v>
      </c>
      <c r="C33" s="31" t="s">
        <v>78</v>
      </c>
      <c r="D33" s="31" t="s">
        <v>75</v>
      </c>
      <c r="E33" s="32" t="s">
        <v>55</v>
      </c>
      <c r="F33" s="31" t="s">
        <v>79</v>
      </c>
      <c r="G33" s="63">
        <v>0</v>
      </c>
      <c r="H33" s="63">
        <v>1043</v>
      </c>
      <c r="I33" s="63">
        <v>1043</v>
      </c>
      <c r="J33" s="63"/>
      <c r="K33" s="63">
        <v>2086</v>
      </c>
      <c r="L33" s="32" t="s">
        <v>18</v>
      </c>
      <c r="M33" s="32" t="s">
        <v>19</v>
      </c>
      <c r="N33" s="31" t="s">
        <v>10</v>
      </c>
      <c r="O33" s="32" t="s">
        <v>20</v>
      </c>
    </row>
    <row r="34" spans="1:15" s="33" customFormat="1" ht="91.2" x14ac:dyDescent="0.3">
      <c r="A34" s="31" t="s">
        <v>310</v>
      </c>
      <c r="B34" s="31" t="s">
        <v>159</v>
      </c>
      <c r="C34" s="31" t="s">
        <v>160</v>
      </c>
      <c r="D34" s="31" t="s">
        <v>75</v>
      </c>
      <c r="E34" s="32" t="s">
        <v>55</v>
      </c>
      <c r="F34" s="31" t="s">
        <v>266</v>
      </c>
      <c r="G34" s="63">
        <v>0</v>
      </c>
      <c r="H34" s="63">
        <v>1043</v>
      </c>
      <c r="I34" s="63">
        <v>1043</v>
      </c>
      <c r="J34" s="63"/>
      <c r="K34" s="63">
        <v>2086</v>
      </c>
      <c r="L34" s="32"/>
      <c r="M34" s="32"/>
      <c r="N34" s="31"/>
      <c r="O34" s="32"/>
    </row>
    <row r="35" spans="1:15" s="33" customFormat="1" ht="79.8" x14ac:dyDescent="0.3">
      <c r="A35" s="31" t="s">
        <v>272</v>
      </c>
      <c r="B35" s="31" t="s">
        <v>21</v>
      </c>
      <c r="C35" s="31" t="s">
        <v>80</v>
      </c>
      <c r="D35" s="31" t="s">
        <v>75</v>
      </c>
      <c r="E35" s="32" t="s">
        <v>55</v>
      </c>
      <c r="F35" s="31" t="s">
        <v>81</v>
      </c>
      <c r="G35" s="63">
        <v>0</v>
      </c>
      <c r="H35" s="63">
        <v>81</v>
      </c>
      <c r="I35" s="63">
        <v>82</v>
      </c>
      <c r="J35" s="63">
        <v>0</v>
      </c>
      <c r="K35" s="63">
        <v>163</v>
      </c>
      <c r="L35" s="32" t="s">
        <v>18</v>
      </c>
      <c r="M35" s="32" t="s">
        <v>19</v>
      </c>
      <c r="N35" s="31" t="s">
        <v>10</v>
      </c>
      <c r="O35" s="32" t="s">
        <v>20</v>
      </c>
    </row>
    <row r="36" spans="1:15" s="33" customFormat="1" ht="91.2" x14ac:dyDescent="0.3">
      <c r="A36" s="31" t="s">
        <v>311</v>
      </c>
      <c r="B36" s="31" t="s">
        <v>22</v>
      </c>
      <c r="C36" s="31" t="s">
        <v>82</v>
      </c>
      <c r="D36" s="31" t="s">
        <v>75</v>
      </c>
      <c r="E36" s="32" t="s">
        <v>55</v>
      </c>
      <c r="F36" s="31" t="s">
        <v>83</v>
      </c>
      <c r="G36" s="63">
        <v>0</v>
      </c>
      <c r="H36" s="63">
        <v>1043</v>
      </c>
      <c r="I36" s="63">
        <v>1043</v>
      </c>
      <c r="J36" s="63">
        <v>0</v>
      </c>
      <c r="K36" s="63">
        <v>2086</v>
      </c>
      <c r="L36" s="32" t="s">
        <v>23</v>
      </c>
      <c r="M36" s="32" t="s">
        <v>19</v>
      </c>
      <c r="N36" s="31" t="s">
        <v>10</v>
      </c>
      <c r="O36" s="32" t="s">
        <v>20</v>
      </c>
    </row>
    <row r="37" spans="1:15" s="29" customFormat="1" ht="91.2" x14ac:dyDescent="0.3">
      <c r="A37" s="34" t="s">
        <v>312</v>
      </c>
      <c r="B37" s="35" t="s">
        <v>151</v>
      </c>
      <c r="C37" s="35" t="s">
        <v>162</v>
      </c>
      <c r="D37" s="35" t="s">
        <v>75</v>
      </c>
      <c r="E37" s="36" t="s">
        <v>55</v>
      </c>
      <c r="F37" s="35" t="s">
        <v>83</v>
      </c>
      <c r="G37" s="64">
        <v>0</v>
      </c>
      <c r="H37" s="64">
        <v>1043</v>
      </c>
      <c r="I37" s="64">
        <v>1043</v>
      </c>
      <c r="J37" s="64">
        <v>0</v>
      </c>
      <c r="K37" s="64">
        <v>2086</v>
      </c>
      <c r="L37" s="36" t="s">
        <v>23</v>
      </c>
      <c r="M37" s="36" t="s">
        <v>19</v>
      </c>
      <c r="N37" s="35" t="s">
        <v>10</v>
      </c>
      <c r="O37" s="36" t="s">
        <v>20</v>
      </c>
    </row>
    <row r="38" spans="1:15" s="39" customFormat="1" ht="66.75" customHeight="1" x14ac:dyDescent="0.3">
      <c r="A38" s="84" t="s">
        <v>313</v>
      </c>
      <c r="B38" s="37" t="s">
        <v>274</v>
      </c>
      <c r="C38" s="37" t="s">
        <v>84</v>
      </c>
      <c r="D38" s="37" t="s">
        <v>54</v>
      </c>
      <c r="E38" s="38" t="s">
        <v>60</v>
      </c>
      <c r="F38" s="37" t="s">
        <v>85</v>
      </c>
      <c r="G38" s="65">
        <v>0</v>
      </c>
      <c r="H38" s="65">
        <v>100</v>
      </c>
      <c r="I38" s="65">
        <v>100</v>
      </c>
      <c r="J38" s="65">
        <v>100</v>
      </c>
      <c r="K38" s="65">
        <v>100</v>
      </c>
      <c r="L38" s="38" t="s">
        <v>86</v>
      </c>
      <c r="M38" s="38" t="s">
        <v>87</v>
      </c>
      <c r="N38" s="37" t="s">
        <v>88</v>
      </c>
      <c r="O38" s="38" t="s">
        <v>20</v>
      </c>
    </row>
    <row r="39" spans="1:15" s="39" customFormat="1" ht="66.75" customHeight="1" x14ac:dyDescent="0.3">
      <c r="A39" s="85"/>
      <c r="B39" s="37" t="s">
        <v>89</v>
      </c>
      <c r="C39" s="37" t="s">
        <v>90</v>
      </c>
      <c r="D39" s="37" t="s">
        <v>54</v>
      </c>
      <c r="E39" s="38" t="s">
        <v>59</v>
      </c>
      <c r="F39" s="37" t="s">
        <v>91</v>
      </c>
      <c r="G39" s="65">
        <v>0</v>
      </c>
      <c r="H39" s="65">
        <v>40</v>
      </c>
      <c r="I39" s="65">
        <v>60</v>
      </c>
      <c r="J39" s="65">
        <v>90</v>
      </c>
      <c r="K39" s="65">
        <v>90</v>
      </c>
      <c r="L39" s="38" t="s">
        <v>92</v>
      </c>
      <c r="M39" s="38" t="s">
        <v>24</v>
      </c>
      <c r="N39" s="37" t="s">
        <v>25</v>
      </c>
      <c r="O39" s="38" t="s">
        <v>20</v>
      </c>
    </row>
    <row r="40" spans="1:15" s="39" customFormat="1" ht="67.5" customHeight="1" x14ac:dyDescent="0.3">
      <c r="A40" s="86"/>
      <c r="B40" s="37" t="s">
        <v>93</v>
      </c>
      <c r="C40" s="37" t="s">
        <v>94</v>
      </c>
      <c r="D40" s="37" t="s">
        <v>54</v>
      </c>
      <c r="E40" s="38" t="s">
        <v>59</v>
      </c>
      <c r="F40" s="37" t="s">
        <v>95</v>
      </c>
      <c r="G40" s="65">
        <v>0</v>
      </c>
      <c r="H40" s="65">
        <v>50</v>
      </c>
      <c r="I40" s="65">
        <v>60</v>
      </c>
      <c r="J40" s="65">
        <v>70</v>
      </c>
      <c r="K40" s="65">
        <v>70</v>
      </c>
      <c r="L40" s="38" t="s">
        <v>92</v>
      </c>
      <c r="M40" s="38" t="s">
        <v>24</v>
      </c>
      <c r="N40" s="37" t="s">
        <v>25</v>
      </c>
      <c r="O40" s="38" t="s">
        <v>20</v>
      </c>
    </row>
    <row r="41" spans="1:15" s="39" customFormat="1" ht="63" customHeight="1" x14ac:dyDescent="0.3">
      <c r="A41" s="70" t="s">
        <v>325</v>
      </c>
      <c r="B41" s="40" t="s">
        <v>26</v>
      </c>
      <c r="C41" s="40" t="s">
        <v>96</v>
      </c>
      <c r="D41" s="40" t="s">
        <v>75</v>
      </c>
      <c r="E41" s="41" t="s">
        <v>55</v>
      </c>
      <c r="F41" s="40" t="s">
        <v>97</v>
      </c>
      <c r="G41" s="66">
        <v>0</v>
      </c>
      <c r="H41" s="66">
        <v>1043</v>
      </c>
      <c r="I41" s="66">
        <v>1043</v>
      </c>
      <c r="J41" s="66">
        <v>0</v>
      </c>
      <c r="K41" s="66">
        <v>2086</v>
      </c>
      <c r="L41" s="41" t="s">
        <v>18</v>
      </c>
      <c r="M41" s="41" t="s">
        <v>19</v>
      </c>
      <c r="N41" s="40" t="s">
        <v>10</v>
      </c>
      <c r="O41" s="41" t="s">
        <v>20</v>
      </c>
    </row>
    <row r="42" spans="1:15" s="39" customFormat="1" ht="63" customHeight="1" x14ac:dyDescent="0.3">
      <c r="A42" s="77"/>
      <c r="B42" s="40" t="s">
        <v>208</v>
      </c>
      <c r="C42" s="40" t="s">
        <v>209</v>
      </c>
      <c r="D42" s="40" t="s">
        <v>75</v>
      </c>
      <c r="E42" s="41" t="s">
        <v>120</v>
      </c>
      <c r="F42" s="40" t="s">
        <v>210</v>
      </c>
      <c r="G42" s="66">
        <v>0</v>
      </c>
      <c r="H42" s="66">
        <v>6</v>
      </c>
      <c r="I42" s="66">
        <v>6</v>
      </c>
      <c r="J42" s="66">
        <v>6</v>
      </c>
      <c r="K42" s="66">
        <f>SUM(H42:J42)</f>
        <v>18</v>
      </c>
      <c r="L42" s="41" t="s">
        <v>225</v>
      </c>
      <c r="M42" s="41" t="s">
        <v>19</v>
      </c>
      <c r="N42" s="40" t="s">
        <v>10</v>
      </c>
      <c r="O42" s="41" t="s">
        <v>20</v>
      </c>
    </row>
    <row r="43" spans="1:15" s="39" customFormat="1" ht="63" customHeight="1" x14ac:dyDescent="0.3">
      <c r="A43" s="77"/>
      <c r="B43" s="40" t="s">
        <v>211</v>
      </c>
      <c r="C43" s="40" t="s">
        <v>212</v>
      </c>
      <c r="D43" s="40" t="s">
        <v>75</v>
      </c>
      <c r="E43" s="41" t="s">
        <v>120</v>
      </c>
      <c r="F43" s="40" t="s">
        <v>213</v>
      </c>
      <c r="G43" s="66">
        <v>0</v>
      </c>
      <c r="H43" s="66">
        <v>72</v>
      </c>
      <c r="I43" s="66">
        <v>72</v>
      </c>
      <c r="J43" s="66">
        <v>72</v>
      </c>
      <c r="K43" s="66">
        <f>SUM(H43:J43)</f>
        <v>216</v>
      </c>
      <c r="L43" s="41" t="s">
        <v>225</v>
      </c>
      <c r="M43" s="41" t="s">
        <v>19</v>
      </c>
      <c r="N43" s="40" t="s">
        <v>10</v>
      </c>
      <c r="O43" s="41" t="s">
        <v>20</v>
      </c>
    </row>
    <row r="44" spans="1:15" s="39" customFormat="1" ht="63" customHeight="1" x14ac:dyDescent="0.3">
      <c r="A44" s="77"/>
      <c r="B44" s="40" t="s">
        <v>214</v>
      </c>
      <c r="C44" s="40" t="s">
        <v>215</v>
      </c>
      <c r="D44" s="40" t="s">
        <v>75</v>
      </c>
      <c r="E44" s="41" t="s">
        <v>120</v>
      </c>
      <c r="F44" s="40" t="s">
        <v>216</v>
      </c>
      <c r="G44" s="66">
        <v>0</v>
      </c>
      <c r="H44" s="66">
        <v>4</v>
      </c>
      <c r="I44" s="66">
        <v>4</v>
      </c>
      <c r="J44" s="66"/>
      <c r="K44" s="66">
        <f>SUM(H44:J44)</f>
        <v>8</v>
      </c>
      <c r="L44" s="41" t="s">
        <v>226</v>
      </c>
      <c r="M44" s="41" t="s">
        <v>19</v>
      </c>
      <c r="N44" s="40" t="s">
        <v>10</v>
      </c>
      <c r="O44" s="41" t="s">
        <v>20</v>
      </c>
    </row>
    <row r="45" spans="1:15" s="39" customFormat="1" ht="63" customHeight="1" x14ac:dyDescent="0.3">
      <c r="A45" s="77"/>
      <c r="B45" s="40" t="s">
        <v>217</v>
      </c>
      <c r="C45" s="40" t="s">
        <v>218</v>
      </c>
      <c r="D45" s="40" t="s">
        <v>75</v>
      </c>
      <c r="E45" s="41" t="s">
        <v>120</v>
      </c>
      <c r="F45" s="40" t="s">
        <v>219</v>
      </c>
      <c r="G45" s="66">
        <v>0</v>
      </c>
      <c r="H45" s="66">
        <v>6</v>
      </c>
      <c r="I45" s="66">
        <v>0</v>
      </c>
      <c r="J45" s="66"/>
      <c r="K45" s="66">
        <v>6</v>
      </c>
      <c r="L45" s="41" t="s">
        <v>226</v>
      </c>
      <c r="M45" s="41" t="s">
        <v>19</v>
      </c>
      <c r="N45" s="40" t="s">
        <v>10</v>
      </c>
      <c r="O45" s="41" t="s">
        <v>20</v>
      </c>
    </row>
    <row r="46" spans="1:15" s="39" customFormat="1" ht="63" customHeight="1" x14ac:dyDescent="0.3">
      <c r="A46" s="77"/>
      <c r="B46" s="40" t="s">
        <v>265</v>
      </c>
      <c r="C46" s="40" t="s">
        <v>220</v>
      </c>
      <c r="D46" s="40" t="s">
        <v>75</v>
      </c>
      <c r="E46" s="41" t="s">
        <v>120</v>
      </c>
      <c r="F46" s="40" t="s">
        <v>221</v>
      </c>
      <c r="G46" s="66">
        <v>0</v>
      </c>
      <c r="H46" s="66">
        <v>2</v>
      </c>
      <c r="I46" s="66"/>
      <c r="J46" s="66"/>
      <c r="K46" s="66">
        <v>2</v>
      </c>
      <c r="L46" s="41" t="s">
        <v>226</v>
      </c>
      <c r="M46" s="41" t="s">
        <v>19</v>
      </c>
      <c r="N46" s="40" t="s">
        <v>10</v>
      </c>
      <c r="O46" s="41" t="s">
        <v>20</v>
      </c>
    </row>
    <row r="47" spans="1:15" s="39" customFormat="1" ht="63" customHeight="1" x14ac:dyDescent="0.3">
      <c r="A47" s="71"/>
      <c r="B47" s="40" t="s">
        <v>223</v>
      </c>
      <c r="C47" s="40" t="s">
        <v>224</v>
      </c>
      <c r="D47" s="40" t="s">
        <v>75</v>
      </c>
      <c r="E47" s="41" t="s">
        <v>120</v>
      </c>
      <c r="F47" s="40" t="s">
        <v>222</v>
      </c>
      <c r="G47" s="66">
        <v>0</v>
      </c>
      <c r="H47" s="66">
        <v>163</v>
      </c>
      <c r="I47" s="66"/>
      <c r="J47" s="66"/>
      <c r="K47" s="66">
        <v>163</v>
      </c>
      <c r="L47" s="41" t="s">
        <v>226</v>
      </c>
      <c r="M47" s="41" t="s">
        <v>19</v>
      </c>
      <c r="N47" s="40" t="s">
        <v>10</v>
      </c>
      <c r="O47" s="41" t="s">
        <v>20</v>
      </c>
    </row>
    <row r="48" spans="1:15" s="39" customFormat="1" ht="63" customHeight="1" x14ac:dyDescent="0.3">
      <c r="A48" s="78" t="s">
        <v>314</v>
      </c>
      <c r="B48" s="40" t="s">
        <v>227</v>
      </c>
      <c r="C48" s="40" t="s">
        <v>228</v>
      </c>
      <c r="D48" s="40" t="s">
        <v>75</v>
      </c>
      <c r="E48" s="40" t="s">
        <v>120</v>
      </c>
      <c r="F48" s="40" t="s">
        <v>229</v>
      </c>
      <c r="G48" s="66">
        <v>0</v>
      </c>
      <c r="H48" s="66">
        <v>163</v>
      </c>
      <c r="I48" s="66"/>
      <c r="J48" s="66"/>
      <c r="K48" s="66">
        <v>163</v>
      </c>
      <c r="L48" s="41" t="s">
        <v>226</v>
      </c>
      <c r="M48" s="41" t="s">
        <v>19</v>
      </c>
      <c r="N48" s="40" t="s">
        <v>10</v>
      </c>
      <c r="O48" s="41" t="s">
        <v>20</v>
      </c>
    </row>
    <row r="49" spans="1:15" s="39" customFormat="1" ht="63" customHeight="1" x14ac:dyDescent="0.3">
      <c r="A49" s="79"/>
      <c r="B49" s="40" t="s">
        <v>230</v>
      </c>
      <c r="C49" s="40" t="s">
        <v>231</v>
      </c>
      <c r="D49" s="42" t="s">
        <v>75</v>
      </c>
      <c r="E49" s="41" t="s">
        <v>120</v>
      </c>
      <c r="F49" s="40" t="s">
        <v>232</v>
      </c>
      <c r="G49" s="66">
        <v>0</v>
      </c>
      <c r="H49" s="66">
        <v>6</v>
      </c>
      <c r="I49" s="66"/>
      <c r="J49" s="66"/>
      <c r="K49" s="66">
        <v>6</v>
      </c>
      <c r="L49" s="41" t="s">
        <v>226</v>
      </c>
      <c r="M49" s="41" t="s">
        <v>19</v>
      </c>
      <c r="N49" s="40" t="s">
        <v>10</v>
      </c>
      <c r="O49" s="41" t="s">
        <v>20</v>
      </c>
    </row>
    <row r="50" spans="1:15" s="39" customFormat="1" ht="63" customHeight="1" x14ac:dyDescent="0.3">
      <c r="A50" s="79"/>
      <c r="B50" s="40" t="s">
        <v>233</v>
      </c>
      <c r="C50" s="40" t="s">
        <v>234</v>
      </c>
      <c r="D50" s="40" t="s">
        <v>75</v>
      </c>
      <c r="E50" s="41" t="s">
        <v>120</v>
      </c>
      <c r="F50" s="40" t="s">
        <v>235</v>
      </c>
      <c r="G50" s="66">
        <v>0</v>
      </c>
      <c r="H50" s="66">
        <v>6</v>
      </c>
      <c r="I50" s="66"/>
      <c r="J50" s="66"/>
      <c r="K50" s="66">
        <v>6</v>
      </c>
      <c r="L50" s="41" t="s">
        <v>226</v>
      </c>
      <c r="M50" s="41" t="s">
        <v>19</v>
      </c>
      <c r="N50" s="40" t="s">
        <v>10</v>
      </c>
      <c r="O50" s="41" t="s">
        <v>20</v>
      </c>
    </row>
    <row r="51" spans="1:15" s="39" customFormat="1" ht="63" customHeight="1" x14ac:dyDescent="0.3">
      <c r="A51" s="80"/>
      <c r="B51" s="40" t="s">
        <v>236</v>
      </c>
      <c r="C51" s="40" t="s">
        <v>237</v>
      </c>
      <c r="D51" s="42" t="s">
        <v>75</v>
      </c>
      <c r="E51" s="41" t="s">
        <v>120</v>
      </c>
      <c r="F51" s="42" t="s">
        <v>238</v>
      </c>
      <c r="G51" s="66">
        <v>0</v>
      </c>
      <c r="H51" s="66">
        <v>10</v>
      </c>
      <c r="I51" s="66"/>
      <c r="J51" s="66"/>
      <c r="K51" s="66">
        <v>10</v>
      </c>
      <c r="L51" s="41" t="s">
        <v>226</v>
      </c>
      <c r="M51" s="41" t="s">
        <v>19</v>
      </c>
      <c r="N51" s="40" t="s">
        <v>10</v>
      </c>
      <c r="O51" s="41" t="s">
        <v>20</v>
      </c>
    </row>
    <row r="52" spans="1:15" s="17" customFormat="1" ht="60" x14ac:dyDescent="0.3">
      <c r="A52" s="43" t="s">
        <v>98</v>
      </c>
      <c r="B52" s="14"/>
      <c r="C52" s="14"/>
      <c r="D52" s="14"/>
      <c r="E52" s="14"/>
      <c r="F52" s="14"/>
      <c r="G52" s="55"/>
      <c r="H52" s="55"/>
      <c r="I52" s="55"/>
      <c r="J52" s="55"/>
      <c r="K52" s="55"/>
      <c r="L52" s="14"/>
      <c r="M52" s="14"/>
      <c r="N52" s="14"/>
      <c r="O52" s="14"/>
    </row>
    <row r="53" spans="1:15" s="39" customFormat="1" ht="82.5" customHeight="1" x14ac:dyDescent="0.3">
      <c r="A53" s="81" t="s">
        <v>27</v>
      </c>
      <c r="B53" s="37" t="s">
        <v>28</v>
      </c>
      <c r="C53" s="38" t="s">
        <v>163</v>
      </c>
      <c r="D53" s="37" t="s">
        <v>54</v>
      </c>
      <c r="E53" s="38" t="s">
        <v>99</v>
      </c>
      <c r="F53" s="37" t="s">
        <v>100</v>
      </c>
      <c r="G53" s="65">
        <v>0</v>
      </c>
      <c r="H53" s="65">
        <v>95</v>
      </c>
      <c r="I53" s="65">
        <v>95</v>
      </c>
      <c r="J53" s="65">
        <v>95</v>
      </c>
      <c r="K53" s="65">
        <v>95</v>
      </c>
      <c r="L53" s="38" t="s">
        <v>29</v>
      </c>
      <c r="M53" s="38" t="s">
        <v>30</v>
      </c>
      <c r="N53" s="37" t="s">
        <v>10</v>
      </c>
      <c r="O53" s="38" t="s">
        <v>31</v>
      </c>
    </row>
    <row r="54" spans="1:15" s="39" customFormat="1" ht="81.75" customHeight="1" x14ac:dyDescent="0.3">
      <c r="A54" s="82"/>
      <c r="B54" s="37" t="s">
        <v>32</v>
      </c>
      <c r="C54" s="38" t="s">
        <v>164</v>
      </c>
      <c r="D54" s="37" t="s">
        <v>54</v>
      </c>
      <c r="E54" s="38" t="s">
        <v>99</v>
      </c>
      <c r="F54" s="37" t="s">
        <v>101</v>
      </c>
      <c r="G54" s="65">
        <v>0</v>
      </c>
      <c r="H54" s="65">
        <v>80</v>
      </c>
      <c r="I54" s="65">
        <v>90</v>
      </c>
      <c r="J54" s="65">
        <v>95</v>
      </c>
      <c r="K54" s="65">
        <v>95</v>
      </c>
      <c r="L54" s="38" t="s">
        <v>33</v>
      </c>
      <c r="M54" s="38" t="s">
        <v>34</v>
      </c>
      <c r="N54" s="37" t="s">
        <v>10</v>
      </c>
      <c r="O54" s="38" t="s">
        <v>31</v>
      </c>
    </row>
    <row r="55" spans="1:15" s="39" customFormat="1" ht="87" customHeight="1" x14ac:dyDescent="0.3">
      <c r="A55" s="83"/>
      <c r="B55" s="37" t="s">
        <v>35</v>
      </c>
      <c r="C55" s="38" t="s">
        <v>165</v>
      </c>
      <c r="D55" s="37" t="s">
        <v>54</v>
      </c>
      <c r="E55" s="38" t="s">
        <v>99</v>
      </c>
      <c r="F55" s="37" t="s">
        <v>101</v>
      </c>
      <c r="G55" s="65">
        <v>0</v>
      </c>
      <c r="H55" s="65">
        <v>80</v>
      </c>
      <c r="I55" s="65">
        <v>90</v>
      </c>
      <c r="J55" s="65">
        <v>95</v>
      </c>
      <c r="K55" s="65">
        <v>95</v>
      </c>
      <c r="L55" s="38" t="s">
        <v>29</v>
      </c>
      <c r="M55" s="38" t="s">
        <v>30</v>
      </c>
      <c r="N55" s="37" t="s">
        <v>10</v>
      </c>
      <c r="O55" s="38" t="s">
        <v>31</v>
      </c>
    </row>
    <row r="56" spans="1:15" s="39" customFormat="1" ht="57" x14ac:dyDescent="0.3">
      <c r="A56" s="40" t="s">
        <v>102</v>
      </c>
      <c r="B56" s="40" t="s">
        <v>36</v>
      </c>
      <c r="C56" s="40" t="s">
        <v>103</v>
      </c>
      <c r="D56" s="40" t="s">
        <v>75</v>
      </c>
      <c r="E56" s="41" t="s">
        <v>55</v>
      </c>
      <c r="F56" s="40" t="s">
        <v>104</v>
      </c>
      <c r="G56" s="66">
        <v>0</v>
      </c>
      <c r="H56" s="66">
        <v>149</v>
      </c>
      <c r="I56" s="66">
        <v>149</v>
      </c>
      <c r="J56" s="66">
        <v>0</v>
      </c>
      <c r="K56" s="66">
        <f>SUM(H56:J56)</f>
        <v>298</v>
      </c>
      <c r="L56" s="41" t="s">
        <v>18</v>
      </c>
      <c r="M56" s="41" t="s">
        <v>19</v>
      </c>
      <c r="N56" s="40" t="s">
        <v>10</v>
      </c>
      <c r="O56" s="41" t="s">
        <v>20</v>
      </c>
    </row>
    <row r="57" spans="1:15" s="39" customFormat="1" ht="94.5" customHeight="1" x14ac:dyDescent="0.3">
      <c r="A57" s="40" t="s">
        <v>105</v>
      </c>
      <c r="B57" s="40" t="s">
        <v>37</v>
      </c>
      <c r="C57" s="40" t="s">
        <v>106</v>
      </c>
      <c r="D57" s="40" t="s">
        <v>75</v>
      </c>
      <c r="E57" s="41" t="s">
        <v>55</v>
      </c>
      <c r="F57" s="40" t="s">
        <v>107</v>
      </c>
      <c r="G57" s="66">
        <v>0</v>
      </c>
      <c r="H57" s="66">
        <v>81</v>
      </c>
      <c r="I57" s="66">
        <v>82</v>
      </c>
      <c r="J57" s="66">
        <v>0</v>
      </c>
      <c r="K57" s="66">
        <f>SUM(H57:J57)</f>
        <v>163</v>
      </c>
      <c r="L57" s="41" t="s">
        <v>18</v>
      </c>
      <c r="M57" s="41" t="s">
        <v>19</v>
      </c>
      <c r="N57" s="40" t="s">
        <v>10</v>
      </c>
      <c r="O57" s="41" t="s">
        <v>20</v>
      </c>
    </row>
    <row r="58" spans="1:15" s="29" customFormat="1" ht="75.75" customHeight="1" x14ac:dyDescent="0.3">
      <c r="A58" s="35" t="s">
        <v>275</v>
      </c>
      <c r="B58" s="35" t="s">
        <v>152</v>
      </c>
      <c r="C58" s="35" t="s">
        <v>181</v>
      </c>
      <c r="D58" s="35" t="s">
        <v>75</v>
      </c>
      <c r="E58" s="35" t="s">
        <v>120</v>
      </c>
      <c r="F58" s="35" t="s">
        <v>153</v>
      </c>
      <c r="G58" s="64">
        <v>0</v>
      </c>
      <c r="H58" s="64">
        <v>0</v>
      </c>
      <c r="I58" s="64">
        <v>1</v>
      </c>
      <c r="J58" s="64">
        <v>1</v>
      </c>
      <c r="K58" s="64">
        <v>2</v>
      </c>
      <c r="L58" s="36" t="s">
        <v>201</v>
      </c>
      <c r="M58" s="36" t="s">
        <v>19</v>
      </c>
      <c r="N58" s="35" t="s">
        <v>25</v>
      </c>
      <c r="O58" s="36" t="s">
        <v>118</v>
      </c>
    </row>
    <row r="59" spans="1:15" s="29" customFormat="1" ht="75.75" customHeight="1" x14ac:dyDescent="0.3">
      <c r="A59" s="35" t="s">
        <v>276</v>
      </c>
      <c r="B59" s="35" t="s">
        <v>154</v>
      </c>
      <c r="C59" s="35" t="s">
        <v>154</v>
      </c>
      <c r="D59" s="35" t="s">
        <v>75</v>
      </c>
      <c r="E59" s="35" t="s">
        <v>120</v>
      </c>
      <c r="F59" s="35" t="s">
        <v>155</v>
      </c>
      <c r="G59" s="64">
        <v>0</v>
      </c>
      <c r="H59" s="64">
        <v>0</v>
      </c>
      <c r="I59" s="64">
        <v>1</v>
      </c>
      <c r="J59" s="64">
        <v>1</v>
      </c>
      <c r="K59" s="64">
        <v>2</v>
      </c>
      <c r="L59" s="36" t="s">
        <v>202</v>
      </c>
      <c r="M59" s="36" t="s">
        <v>19</v>
      </c>
      <c r="N59" s="35" t="s">
        <v>25</v>
      </c>
      <c r="O59" s="36" t="s">
        <v>203</v>
      </c>
    </row>
    <row r="60" spans="1:15" s="29" customFormat="1" ht="75.75" customHeight="1" x14ac:dyDescent="0.3">
      <c r="A60" s="35"/>
      <c r="B60" s="35" t="s">
        <v>182</v>
      </c>
      <c r="C60" s="35" t="s">
        <v>183</v>
      </c>
      <c r="D60" s="35" t="s">
        <v>75</v>
      </c>
      <c r="E60" s="35" t="s">
        <v>180</v>
      </c>
      <c r="F60" s="35" t="s">
        <v>184</v>
      </c>
      <c r="G60" s="64">
        <v>0</v>
      </c>
      <c r="H60" s="64">
        <v>0</v>
      </c>
      <c r="I60" s="64">
        <v>1043</v>
      </c>
      <c r="J60" s="64">
        <v>1043</v>
      </c>
      <c r="K60" s="64">
        <v>2086</v>
      </c>
      <c r="L60" s="35" t="s">
        <v>185</v>
      </c>
      <c r="M60" s="36" t="s">
        <v>204</v>
      </c>
      <c r="N60" s="35" t="s">
        <v>206</v>
      </c>
      <c r="O60" s="36" t="s">
        <v>20</v>
      </c>
    </row>
    <row r="61" spans="1:15" s="29" customFormat="1" ht="75.75" customHeight="1" x14ac:dyDescent="0.3">
      <c r="A61" s="35"/>
      <c r="B61" s="35" t="s">
        <v>186</v>
      </c>
      <c r="C61" s="35" t="s">
        <v>186</v>
      </c>
      <c r="D61" s="35" t="s">
        <v>75</v>
      </c>
      <c r="E61" s="35" t="s">
        <v>168</v>
      </c>
      <c r="F61" s="35" t="s">
        <v>191</v>
      </c>
      <c r="G61" s="64">
        <v>0</v>
      </c>
      <c r="H61" s="64">
        <v>0</v>
      </c>
      <c r="I61" s="64">
        <v>1043</v>
      </c>
      <c r="J61" s="64">
        <v>1043</v>
      </c>
      <c r="K61" s="64">
        <v>2086</v>
      </c>
      <c r="L61" s="35" t="s">
        <v>192</v>
      </c>
      <c r="M61" s="35" t="s">
        <v>205</v>
      </c>
      <c r="N61" s="35" t="s">
        <v>10</v>
      </c>
      <c r="O61" s="36" t="s">
        <v>20</v>
      </c>
    </row>
    <row r="62" spans="1:15" s="29" customFormat="1" ht="75.75" customHeight="1" x14ac:dyDescent="0.3">
      <c r="A62" s="35"/>
      <c r="B62" s="35" t="s">
        <v>188</v>
      </c>
      <c r="C62" s="35" t="s">
        <v>190</v>
      </c>
      <c r="D62" s="35" t="s">
        <v>75</v>
      </c>
      <c r="E62" s="35" t="s">
        <v>171</v>
      </c>
      <c r="F62" s="35" t="s">
        <v>241</v>
      </c>
      <c r="G62" s="64">
        <v>0</v>
      </c>
      <c r="H62" s="64">
        <v>0</v>
      </c>
      <c r="I62" s="64" t="s">
        <v>56</v>
      </c>
      <c r="J62" s="64" t="s">
        <v>56</v>
      </c>
      <c r="K62" s="64" t="s">
        <v>56</v>
      </c>
      <c r="L62" s="36" t="s">
        <v>11</v>
      </c>
      <c r="M62" s="35" t="s">
        <v>39</v>
      </c>
      <c r="N62" s="35" t="s">
        <v>207</v>
      </c>
      <c r="O62" s="36"/>
    </row>
    <row r="63" spans="1:15" s="29" customFormat="1" ht="75.75" customHeight="1" x14ac:dyDescent="0.3">
      <c r="A63" s="35"/>
      <c r="B63" s="35" t="s">
        <v>189</v>
      </c>
      <c r="C63" s="35" t="s">
        <v>189</v>
      </c>
      <c r="D63" s="35" t="s">
        <v>75</v>
      </c>
      <c r="E63" s="35" t="s">
        <v>168</v>
      </c>
      <c r="F63" s="35" t="s">
        <v>242</v>
      </c>
      <c r="G63" s="64">
        <v>0</v>
      </c>
      <c r="H63" s="64"/>
      <c r="I63" s="64">
        <v>1043</v>
      </c>
      <c r="J63" s="64"/>
      <c r="K63" s="64">
        <v>2086</v>
      </c>
      <c r="L63" s="36" t="s">
        <v>11</v>
      </c>
      <c r="M63" s="35" t="s">
        <v>39</v>
      </c>
      <c r="N63" s="35" t="s">
        <v>25</v>
      </c>
      <c r="O63" s="36"/>
    </row>
    <row r="64" spans="1:15" s="39" customFormat="1" ht="136.80000000000001" x14ac:dyDescent="0.3">
      <c r="A64" s="44" t="s">
        <v>109</v>
      </c>
      <c r="B64" s="37" t="s">
        <v>195</v>
      </c>
      <c r="C64" s="37" t="s">
        <v>308</v>
      </c>
      <c r="D64" s="37" t="s">
        <v>54</v>
      </c>
      <c r="E64" s="37" t="s">
        <v>110</v>
      </c>
      <c r="F64" s="37" t="s">
        <v>196</v>
      </c>
      <c r="G64" s="65">
        <v>0</v>
      </c>
      <c r="H64" s="65">
        <v>81</v>
      </c>
      <c r="I64" s="65">
        <v>8212</v>
      </c>
      <c r="J64" s="65">
        <v>100</v>
      </c>
      <c r="K64" s="65">
        <v>100</v>
      </c>
      <c r="L64" s="38" t="s">
        <v>111</v>
      </c>
      <c r="M64" s="38" t="s">
        <v>112</v>
      </c>
      <c r="N64" s="37" t="s">
        <v>113</v>
      </c>
      <c r="O64" s="38" t="s">
        <v>20</v>
      </c>
    </row>
    <row r="65" spans="1:15" s="39" customFormat="1" ht="63" customHeight="1" x14ac:dyDescent="0.3">
      <c r="A65" s="70" t="s">
        <v>319</v>
      </c>
      <c r="B65" s="40" t="s">
        <v>273</v>
      </c>
      <c r="C65" s="40" t="s">
        <v>108</v>
      </c>
      <c r="D65" s="40" t="s">
        <v>75</v>
      </c>
      <c r="E65" s="31" t="s">
        <v>59</v>
      </c>
      <c r="F65" s="40" t="s">
        <v>263</v>
      </c>
      <c r="G65" s="66">
        <v>0</v>
      </c>
      <c r="H65" s="66" t="s">
        <v>56</v>
      </c>
      <c r="I65" s="66" t="s">
        <v>56</v>
      </c>
      <c r="J65" s="66" t="s">
        <v>56</v>
      </c>
      <c r="K65" s="66" t="s">
        <v>56</v>
      </c>
      <c r="L65" s="41" t="s">
        <v>38</v>
      </c>
      <c r="M65" s="40" t="s">
        <v>39</v>
      </c>
      <c r="N65" s="40" t="s">
        <v>207</v>
      </c>
      <c r="O65" s="41" t="s">
        <v>40</v>
      </c>
    </row>
    <row r="66" spans="1:15" s="39" customFormat="1" ht="63" customHeight="1" x14ac:dyDescent="0.3">
      <c r="A66" s="71"/>
      <c r="B66" s="40" t="s">
        <v>315</v>
      </c>
      <c r="C66" s="40" t="s">
        <v>316</v>
      </c>
      <c r="D66" s="40" t="s">
        <v>75</v>
      </c>
      <c r="E66" s="40" t="s">
        <v>120</v>
      </c>
      <c r="F66" s="40" t="s">
        <v>317</v>
      </c>
      <c r="G66" s="66">
        <v>0</v>
      </c>
      <c r="H66" s="66">
        <v>266</v>
      </c>
      <c r="I66" s="66">
        <v>0</v>
      </c>
      <c r="J66" s="66">
        <v>0</v>
      </c>
      <c r="K66" s="66">
        <v>266</v>
      </c>
      <c r="L66" s="41" t="s">
        <v>318</v>
      </c>
      <c r="M66" s="41" t="s">
        <v>19</v>
      </c>
      <c r="N66" s="40" t="s">
        <v>207</v>
      </c>
      <c r="O66" s="41" t="s">
        <v>40</v>
      </c>
    </row>
    <row r="67" spans="1:15" s="39" customFormat="1" ht="91.2" x14ac:dyDescent="0.3">
      <c r="A67" s="44" t="s">
        <v>320</v>
      </c>
      <c r="B67" s="37" t="s">
        <v>114</v>
      </c>
      <c r="C67" s="37" t="s">
        <v>115</v>
      </c>
      <c r="D67" s="37" t="s">
        <v>75</v>
      </c>
      <c r="E67" s="37" t="s">
        <v>110</v>
      </c>
      <c r="F67" s="37" t="s">
        <v>116</v>
      </c>
      <c r="G67" s="65">
        <v>0</v>
      </c>
      <c r="H67" s="65">
        <v>100</v>
      </c>
      <c r="I67" s="65">
        <v>100</v>
      </c>
      <c r="J67" s="65">
        <v>100</v>
      </c>
      <c r="K67" s="65" t="s">
        <v>56</v>
      </c>
      <c r="L67" s="37" t="s">
        <v>117</v>
      </c>
      <c r="M67" s="38" t="s">
        <v>30</v>
      </c>
      <c r="N67" s="37" t="s">
        <v>10</v>
      </c>
      <c r="O67" s="38" t="s">
        <v>118</v>
      </c>
    </row>
    <row r="68" spans="1:15" s="39" customFormat="1" ht="216.6" x14ac:dyDescent="0.3">
      <c r="A68" s="40" t="s">
        <v>322</v>
      </c>
      <c r="B68" s="40" t="s">
        <v>42</v>
      </c>
      <c r="C68" s="40" t="s">
        <v>119</v>
      </c>
      <c r="D68" s="40" t="s">
        <v>54</v>
      </c>
      <c r="E68" s="41" t="s">
        <v>120</v>
      </c>
      <c r="F68" s="40" t="s">
        <v>121</v>
      </c>
      <c r="G68" s="66">
        <v>0</v>
      </c>
      <c r="H68" s="66">
        <v>100</v>
      </c>
      <c r="I68" s="66">
        <v>100</v>
      </c>
      <c r="J68" s="66">
        <v>100</v>
      </c>
      <c r="K68" s="66">
        <v>100</v>
      </c>
      <c r="L68" s="41" t="s">
        <v>43</v>
      </c>
      <c r="M68" s="41" t="s">
        <v>44</v>
      </c>
      <c r="N68" s="40" t="s">
        <v>10</v>
      </c>
      <c r="O68" s="41" t="s">
        <v>41</v>
      </c>
    </row>
    <row r="69" spans="1:15" s="39" customFormat="1" ht="79.8" x14ac:dyDescent="0.3">
      <c r="A69" s="40"/>
      <c r="B69" s="45" t="s">
        <v>282</v>
      </c>
      <c r="C69" s="40" t="s">
        <v>284</v>
      </c>
      <c r="D69" s="40" t="s">
        <v>75</v>
      </c>
      <c r="E69" s="41" t="s">
        <v>120</v>
      </c>
      <c r="F69" s="40" t="s">
        <v>283</v>
      </c>
      <c r="G69" s="66">
        <v>0</v>
      </c>
      <c r="H69" s="63" t="s">
        <v>56</v>
      </c>
      <c r="I69" s="63" t="s">
        <v>56</v>
      </c>
      <c r="J69" s="63" t="s">
        <v>56</v>
      </c>
      <c r="K69" s="63" t="s">
        <v>56</v>
      </c>
      <c r="L69" s="41" t="s">
        <v>239</v>
      </c>
      <c r="M69" s="41" t="s">
        <v>240</v>
      </c>
      <c r="N69" s="40" t="s">
        <v>10</v>
      </c>
      <c r="O69" s="41" t="s">
        <v>41</v>
      </c>
    </row>
    <row r="70" spans="1:15" s="39" customFormat="1" ht="79.8" x14ac:dyDescent="0.3">
      <c r="A70" s="40"/>
      <c r="B70" s="40" t="s">
        <v>45</v>
      </c>
      <c r="C70" s="40" t="s">
        <v>122</v>
      </c>
      <c r="D70" s="40" t="s">
        <v>75</v>
      </c>
      <c r="E70" s="40" t="s">
        <v>120</v>
      </c>
      <c r="F70" s="40" t="s">
        <v>123</v>
      </c>
      <c r="G70" s="66">
        <v>0</v>
      </c>
      <c r="H70" s="66">
        <v>12</v>
      </c>
      <c r="I70" s="66">
        <v>12</v>
      </c>
      <c r="J70" s="66">
        <v>12</v>
      </c>
      <c r="K70" s="66">
        <v>36</v>
      </c>
      <c r="L70" s="41" t="s">
        <v>18</v>
      </c>
      <c r="M70" s="41" t="s">
        <v>19</v>
      </c>
      <c r="N70" s="40" t="s">
        <v>10</v>
      </c>
      <c r="O70" s="41" t="s">
        <v>41</v>
      </c>
    </row>
    <row r="71" spans="1:15" s="39" customFormat="1" ht="93" customHeight="1" x14ac:dyDescent="0.3">
      <c r="A71" s="35" t="s">
        <v>321</v>
      </c>
      <c r="B71" s="35" t="s">
        <v>187</v>
      </c>
      <c r="C71" s="35" t="s">
        <v>187</v>
      </c>
      <c r="D71" s="35" t="s">
        <v>75</v>
      </c>
      <c r="E71" s="36" t="s">
        <v>156</v>
      </c>
      <c r="F71" s="35" t="s">
        <v>157</v>
      </c>
      <c r="G71" s="64">
        <v>0</v>
      </c>
      <c r="H71" s="64">
        <v>2</v>
      </c>
      <c r="I71" s="64">
        <v>2</v>
      </c>
      <c r="J71" s="64">
        <v>2</v>
      </c>
      <c r="K71" s="64">
        <v>2</v>
      </c>
      <c r="L71" s="36" t="s">
        <v>239</v>
      </c>
      <c r="M71" s="36" t="s">
        <v>240</v>
      </c>
      <c r="N71" s="35" t="s">
        <v>10</v>
      </c>
      <c r="O71" s="36" t="s">
        <v>41</v>
      </c>
    </row>
    <row r="72" spans="1:15" s="46" customFormat="1" ht="34.200000000000003" x14ac:dyDescent="0.2">
      <c r="A72" s="70" t="s">
        <v>323</v>
      </c>
      <c r="B72" s="40" t="s">
        <v>277</v>
      </c>
      <c r="C72" s="40" t="s">
        <v>278</v>
      </c>
      <c r="D72" s="40" t="s">
        <v>75</v>
      </c>
      <c r="E72" s="41" t="s">
        <v>120</v>
      </c>
      <c r="F72" s="40" t="s">
        <v>279</v>
      </c>
      <c r="G72" s="66">
        <v>0</v>
      </c>
      <c r="H72" s="63" t="s">
        <v>56</v>
      </c>
      <c r="I72" s="63" t="s">
        <v>56</v>
      </c>
      <c r="J72" s="63" t="s">
        <v>56</v>
      </c>
      <c r="K72" s="63" t="s">
        <v>56</v>
      </c>
      <c r="L72" s="41" t="s">
        <v>43</v>
      </c>
      <c r="M72" s="41" t="s">
        <v>44</v>
      </c>
      <c r="N72" s="40" t="s">
        <v>10</v>
      </c>
      <c r="O72" s="41" t="s">
        <v>41</v>
      </c>
    </row>
    <row r="73" spans="1:15" s="46" customFormat="1" ht="57" x14ac:dyDescent="0.2">
      <c r="A73" s="71"/>
      <c r="B73" s="40" t="s">
        <v>285</v>
      </c>
      <c r="C73" s="40" t="s">
        <v>280</v>
      </c>
      <c r="D73" s="40" t="s">
        <v>54</v>
      </c>
      <c r="E73" s="41" t="s">
        <v>120</v>
      </c>
      <c r="F73" s="40" t="s">
        <v>281</v>
      </c>
      <c r="G73" s="66">
        <v>0</v>
      </c>
      <c r="H73" s="63" t="s">
        <v>56</v>
      </c>
      <c r="I73" s="63" t="s">
        <v>56</v>
      </c>
      <c r="J73" s="63" t="s">
        <v>56</v>
      </c>
      <c r="K73" s="63" t="s">
        <v>56</v>
      </c>
      <c r="L73" s="41" t="s">
        <v>43</v>
      </c>
      <c r="M73" s="41" t="s">
        <v>44</v>
      </c>
      <c r="N73" s="40" t="s">
        <v>10</v>
      </c>
      <c r="O73" s="41" t="s">
        <v>41</v>
      </c>
    </row>
    <row r="74" spans="1:15" s="46" customFormat="1" ht="91.2" x14ac:dyDescent="0.2">
      <c r="A74" s="40" t="s">
        <v>324</v>
      </c>
      <c r="B74" s="40" t="s">
        <v>286</v>
      </c>
      <c r="C74" s="40" t="s">
        <v>288</v>
      </c>
      <c r="D74" s="40" t="s">
        <v>75</v>
      </c>
      <c r="E74" s="41" t="s">
        <v>120</v>
      </c>
      <c r="F74" s="40" t="s">
        <v>287</v>
      </c>
      <c r="G74" s="66">
        <v>0</v>
      </c>
      <c r="H74" s="63" t="s">
        <v>56</v>
      </c>
      <c r="I74" s="63" t="s">
        <v>56</v>
      </c>
      <c r="J74" s="63" t="s">
        <v>56</v>
      </c>
      <c r="K74" s="63" t="s">
        <v>56</v>
      </c>
      <c r="L74" s="41" t="s">
        <v>239</v>
      </c>
      <c r="M74" s="41" t="s">
        <v>240</v>
      </c>
      <c r="N74" s="40" t="s">
        <v>10</v>
      </c>
      <c r="O74" s="41" t="s">
        <v>41</v>
      </c>
    </row>
    <row r="75" spans="1:15" s="46" customFormat="1" ht="57" x14ac:dyDescent="0.2">
      <c r="A75" s="40"/>
      <c r="B75" s="40" t="s">
        <v>289</v>
      </c>
      <c r="C75" s="40" t="s">
        <v>290</v>
      </c>
      <c r="D75" s="40" t="s">
        <v>75</v>
      </c>
      <c r="E75" s="41" t="s">
        <v>120</v>
      </c>
      <c r="F75" s="40" t="s">
        <v>291</v>
      </c>
      <c r="G75" s="66">
        <v>0</v>
      </c>
      <c r="H75" s="63" t="s">
        <v>56</v>
      </c>
      <c r="I75" s="63" t="s">
        <v>56</v>
      </c>
      <c r="J75" s="63" t="s">
        <v>56</v>
      </c>
      <c r="K75" s="63" t="s">
        <v>56</v>
      </c>
      <c r="L75" s="41" t="s">
        <v>239</v>
      </c>
      <c r="M75" s="41" t="s">
        <v>240</v>
      </c>
      <c r="N75" s="40" t="s">
        <v>10</v>
      </c>
      <c r="O75" s="41" t="s">
        <v>41</v>
      </c>
    </row>
    <row r="76" spans="1:15" s="46" customFormat="1" ht="45.6" x14ac:dyDescent="0.2">
      <c r="A76" s="40"/>
      <c r="B76" s="40" t="s">
        <v>293</v>
      </c>
      <c r="C76" s="40" t="s">
        <v>292</v>
      </c>
      <c r="D76" s="40" t="s">
        <v>75</v>
      </c>
      <c r="E76" s="41" t="s">
        <v>120</v>
      </c>
      <c r="F76" s="40" t="s">
        <v>294</v>
      </c>
      <c r="G76" s="66">
        <v>0</v>
      </c>
      <c r="H76" s="63" t="s">
        <v>56</v>
      </c>
      <c r="I76" s="63" t="s">
        <v>56</v>
      </c>
      <c r="J76" s="63" t="s">
        <v>56</v>
      </c>
      <c r="K76" s="63" t="s">
        <v>56</v>
      </c>
      <c r="L76" s="41" t="s">
        <v>239</v>
      </c>
      <c r="M76" s="41" t="s">
        <v>205</v>
      </c>
      <c r="N76" s="40" t="s">
        <v>10</v>
      </c>
      <c r="O76" s="41" t="s">
        <v>41</v>
      </c>
    </row>
    <row r="77" spans="1:15" s="46" customFormat="1" ht="57" x14ac:dyDescent="0.2">
      <c r="A77" s="72" t="s">
        <v>326</v>
      </c>
      <c r="B77" s="37" t="s">
        <v>295</v>
      </c>
      <c r="C77" s="37" t="s">
        <v>297</v>
      </c>
      <c r="D77" s="37" t="s">
        <v>75</v>
      </c>
      <c r="E77" s="37" t="s">
        <v>120</v>
      </c>
      <c r="F77" s="37" t="s">
        <v>298</v>
      </c>
      <c r="G77" s="65">
        <v>0</v>
      </c>
      <c r="H77" s="68" t="s">
        <v>56</v>
      </c>
      <c r="I77" s="68" t="s">
        <v>56</v>
      </c>
      <c r="J77" s="68" t="s">
        <v>56</v>
      </c>
      <c r="K77" s="68" t="s">
        <v>56</v>
      </c>
      <c r="L77" s="38" t="s">
        <v>239</v>
      </c>
      <c r="M77" s="37" t="s">
        <v>205</v>
      </c>
      <c r="N77" s="37" t="s">
        <v>10</v>
      </c>
      <c r="O77" s="37" t="s">
        <v>41</v>
      </c>
    </row>
    <row r="78" spans="1:15" ht="34.200000000000003" x14ac:dyDescent="0.2">
      <c r="A78" s="73"/>
      <c r="B78" s="37" t="s">
        <v>296</v>
      </c>
      <c r="C78" s="48" t="s">
        <v>300</v>
      </c>
      <c r="D78" s="47" t="s">
        <v>75</v>
      </c>
      <c r="E78" s="47" t="s">
        <v>120</v>
      </c>
      <c r="F78" s="48" t="s">
        <v>299</v>
      </c>
      <c r="G78" s="67">
        <v>0</v>
      </c>
      <c r="H78" s="68" t="s">
        <v>56</v>
      </c>
      <c r="I78" s="68" t="s">
        <v>56</v>
      </c>
      <c r="J78" s="68" t="s">
        <v>56</v>
      </c>
      <c r="K78" s="68" t="s">
        <v>56</v>
      </c>
      <c r="L78" s="47" t="s">
        <v>239</v>
      </c>
      <c r="M78" s="47" t="s">
        <v>205</v>
      </c>
      <c r="N78" s="47" t="s">
        <v>10</v>
      </c>
      <c r="O78" s="47" t="s">
        <v>41</v>
      </c>
    </row>
  </sheetData>
  <mergeCells count="13">
    <mergeCell ref="A72:A73"/>
    <mergeCell ref="A77:A78"/>
    <mergeCell ref="D6:O6"/>
    <mergeCell ref="A1:O5"/>
    <mergeCell ref="A15:A17"/>
    <mergeCell ref="A65:A66"/>
    <mergeCell ref="A41:A47"/>
    <mergeCell ref="A48:A51"/>
    <mergeCell ref="A53:A55"/>
    <mergeCell ref="A38:A40"/>
    <mergeCell ref="A6:C6"/>
    <mergeCell ref="A18:A31"/>
    <mergeCell ref="A9:A14"/>
  </mergeCells>
  <pageMargins left="0.25" right="0.25" top="0.75" bottom="0.75" header="0.3" footer="0.3"/>
  <pageSetup paperSize="5" scale="37" fitToHeight="0" pageOrder="overThenDown" orientation="landscape" r:id="rId1"/>
  <customProperties>
    <customPr name="QAA_DRILLPATH_NODE_ID" r:id="rId2"/>
  </customPropertie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3D658-0A48-410B-BF1F-BDEC3C9FFC78}">
  <sheetPr>
    <tabColor rgb="FFFF0000"/>
    <pageSetUpPr fitToPage="1"/>
  </sheetPr>
  <dimension ref="A1:N78"/>
  <sheetViews>
    <sheetView zoomScale="80" zoomScaleNormal="80" workbookViewId="0">
      <pane xSplit="2" ySplit="7" topLeftCell="C8" activePane="bottomRight" state="frozen"/>
      <selection pane="topRight" activeCell="C1" sqref="C1"/>
      <selection pane="bottomLeft" activeCell="A8" sqref="A8"/>
      <selection pane="bottomRight" sqref="A1:N5"/>
    </sheetView>
  </sheetViews>
  <sheetFormatPr defaultColWidth="26.21875" defaultRowHeight="11.4" x14ac:dyDescent="0.2"/>
  <cols>
    <col min="1" max="1" width="23.21875" style="5" customWidth="1"/>
    <col min="2" max="2" width="14.21875" style="5" customWidth="1"/>
    <col min="3" max="5" width="15.77734375" style="49" customWidth="1"/>
    <col min="6" max="6" width="11.44140625" style="5" customWidth="1"/>
    <col min="7" max="9" width="8.33203125" style="5" customWidth="1"/>
    <col min="10" max="10" width="17.77734375" style="5" customWidth="1"/>
    <col min="11" max="12" width="9.21875" style="5" hidden="1" customWidth="1"/>
    <col min="13" max="13" width="13.109375" style="5" customWidth="1"/>
    <col min="14" max="14" width="32.33203125" style="5" customWidth="1"/>
    <col min="15" max="16384" width="26.21875" style="5"/>
  </cols>
  <sheetData>
    <row r="1" spans="1:14" ht="84" customHeight="1" x14ac:dyDescent="0.2">
      <c r="A1" s="75"/>
      <c r="B1" s="75"/>
      <c r="C1" s="75"/>
      <c r="D1" s="75"/>
      <c r="E1" s="75"/>
      <c r="F1" s="75"/>
      <c r="G1" s="75"/>
      <c r="H1" s="75"/>
      <c r="I1" s="75"/>
      <c r="J1" s="75"/>
      <c r="K1" s="75"/>
      <c r="L1" s="75"/>
      <c r="M1" s="75"/>
      <c r="N1" s="75"/>
    </row>
    <row r="2" spans="1:14" ht="14.55" customHeight="1" x14ac:dyDescent="0.2">
      <c r="A2" s="75"/>
      <c r="B2" s="75"/>
      <c r="C2" s="75"/>
      <c r="D2" s="75"/>
      <c r="E2" s="75"/>
      <c r="F2" s="75"/>
      <c r="G2" s="75"/>
      <c r="H2" s="75"/>
      <c r="I2" s="75"/>
      <c r="J2" s="75"/>
      <c r="K2" s="75"/>
      <c r="L2" s="75"/>
      <c r="M2" s="75"/>
      <c r="N2" s="75"/>
    </row>
    <row r="3" spans="1:14" ht="11.25" customHeight="1" x14ac:dyDescent="0.2">
      <c r="A3" s="75"/>
      <c r="B3" s="75"/>
      <c r="C3" s="75"/>
      <c r="D3" s="75"/>
      <c r="E3" s="75"/>
      <c r="F3" s="75"/>
      <c r="G3" s="75"/>
      <c r="H3" s="75"/>
      <c r="I3" s="75"/>
      <c r="J3" s="75"/>
      <c r="K3" s="75"/>
      <c r="L3" s="75"/>
      <c r="M3" s="75"/>
      <c r="N3" s="75"/>
    </row>
    <row r="4" spans="1:14" ht="15" hidden="1" customHeight="1" x14ac:dyDescent="0.2">
      <c r="A4" s="75"/>
      <c r="B4" s="75"/>
      <c r="C4" s="75"/>
      <c r="D4" s="75"/>
      <c r="E4" s="75"/>
      <c r="F4" s="75"/>
      <c r="G4" s="75"/>
      <c r="H4" s="75"/>
      <c r="I4" s="75"/>
      <c r="J4" s="75"/>
      <c r="K4" s="75"/>
      <c r="L4" s="75"/>
      <c r="M4" s="75"/>
      <c r="N4" s="75"/>
    </row>
    <row r="5" spans="1:14" ht="15" hidden="1" customHeight="1" x14ac:dyDescent="0.2">
      <c r="A5" s="75"/>
      <c r="B5" s="75"/>
      <c r="C5" s="75"/>
      <c r="D5" s="75"/>
      <c r="E5" s="75"/>
      <c r="F5" s="75"/>
      <c r="G5" s="75"/>
      <c r="H5" s="75"/>
      <c r="I5" s="75"/>
      <c r="J5" s="75"/>
      <c r="K5" s="75"/>
      <c r="L5" s="75"/>
      <c r="M5" s="75"/>
      <c r="N5" s="75"/>
    </row>
    <row r="6" spans="1:14" ht="12" x14ac:dyDescent="0.25">
      <c r="A6" s="74" t="s">
        <v>0</v>
      </c>
      <c r="B6" s="74"/>
      <c r="C6" s="74"/>
      <c r="D6" s="50"/>
      <c r="E6" s="50"/>
      <c r="F6" s="74"/>
      <c r="G6" s="74"/>
      <c r="H6" s="74"/>
      <c r="I6" s="74"/>
      <c r="J6" s="74"/>
      <c r="K6" s="74"/>
      <c r="L6" s="74"/>
      <c r="M6" s="74"/>
      <c r="N6" s="74"/>
    </row>
    <row r="7" spans="1:14" s="7" customFormat="1" ht="48" x14ac:dyDescent="0.25">
      <c r="A7" s="6" t="s">
        <v>1</v>
      </c>
      <c r="B7" s="51" t="s">
        <v>2</v>
      </c>
      <c r="C7" s="51" t="s">
        <v>47</v>
      </c>
      <c r="D7" s="51" t="s">
        <v>3</v>
      </c>
      <c r="E7" s="51" t="s">
        <v>4</v>
      </c>
      <c r="F7" s="52" t="s">
        <v>51</v>
      </c>
      <c r="G7" s="53" t="s">
        <v>303</v>
      </c>
      <c r="H7" s="53" t="s">
        <v>304</v>
      </c>
      <c r="I7" s="53" t="s">
        <v>305</v>
      </c>
      <c r="J7" s="53" t="s">
        <v>52</v>
      </c>
      <c r="K7" s="51" t="s">
        <v>329</v>
      </c>
      <c r="L7" s="51" t="s">
        <v>330</v>
      </c>
      <c r="M7" s="51" t="s">
        <v>331</v>
      </c>
      <c r="N7" s="51" t="s">
        <v>301</v>
      </c>
    </row>
    <row r="8" spans="1:14" s="13" customFormat="1" ht="109.95" customHeight="1" x14ac:dyDescent="0.25">
      <c r="A8" s="8" t="s">
        <v>147</v>
      </c>
      <c r="B8" s="9"/>
      <c r="C8" s="10"/>
      <c r="D8" s="10"/>
      <c r="E8" s="10"/>
      <c r="F8" s="11" t="s">
        <v>262</v>
      </c>
      <c r="G8" s="12"/>
      <c r="H8" s="12"/>
      <c r="I8" s="12"/>
      <c r="J8" s="12"/>
      <c r="K8" s="10"/>
      <c r="L8" s="10"/>
      <c r="M8" s="10"/>
      <c r="N8" s="10"/>
    </row>
    <row r="9" spans="1:14" s="17" customFormat="1" ht="49.95" customHeight="1" x14ac:dyDescent="0.3">
      <c r="A9" s="90" t="s">
        <v>306</v>
      </c>
      <c r="B9" s="14" t="s">
        <v>7</v>
      </c>
      <c r="C9" s="15" t="s">
        <v>53</v>
      </c>
      <c r="D9" s="15" t="s">
        <v>8</v>
      </c>
      <c r="E9" s="14" t="s">
        <v>9</v>
      </c>
      <c r="F9" s="54" t="e">
        <f>SUM(#REF!+#REF!+#REF!+#REF!+#REF!+#REF!)/6</f>
        <v>#REF!</v>
      </c>
      <c r="G9" s="55">
        <v>2.5</v>
      </c>
      <c r="H9" s="55">
        <v>1.5</v>
      </c>
      <c r="I9" s="55">
        <v>1</v>
      </c>
      <c r="J9" s="55">
        <v>0.5</v>
      </c>
      <c r="K9" s="15"/>
      <c r="L9" s="14"/>
      <c r="M9" s="14" t="s">
        <v>328</v>
      </c>
      <c r="N9" s="15" t="s">
        <v>327</v>
      </c>
    </row>
    <row r="10" spans="1:14" s="17" customFormat="1" ht="61.95" customHeight="1" x14ac:dyDescent="0.3">
      <c r="A10" s="91"/>
      <c r="B10" s="14" t="s">
        <v>7</v>
      </c>
      <c r="C10" s="15" t="s">
        <v>58</v>
      </c>
      <c r="D10" s="15" t="s">
        <v>8</v>
      </c>
      <c r="E10" s="14" t="s">
        <v>9</v>
      </c>
      <c r="F10" s="54" t="e">
        <f>SUM(#REF!+#REF!+#REF!+#REF!+#REF!+#REF!)/6</f>
        <v>#REF!</v>
      </c>
      <c r="G10" s="55">
        <v>0.01</v>
      </c>
      <c r="H10" s="55">
        <v>8.0000000000000002E-3</v>
      </c>
      <c r="I10" s="55">
        <v>5.0000000000000001E-3</v>
      </c>
      <c r="J10" s="55">
        <v>2E-3</v>
      </c>
      <c r="K10" s="15"/>
      <c r="L10" s="14"/>
      <c r="M10" s="14" t="s">
        <v>328</v>
      </c>
      <c r="N10" s="15" t="s">
        <v>327</v>
      </c>
    </row>
    <row r="11" spans="1:14" s="19" customFormat="1" ht="61.95" customHeight="1" x14ac:dyDescent="0.3">
      <c r="A11" s="91"/>
      <c r="B11" s="18" t="s">
        <v>7</v>
      </c>
      <c r="C11" s="15" t="s">
        <v>264</v>
      </c>
      <c r="D11" s="16" t="s">
        <v>11</v>
      </c>
      <c r="E11" s="18" t="s">
        <v>12</v>
      </c>
      <c r="F11" s="54" t="e">
        <f>SUM(#REF!+#REF!+#REF!+#REF!+#REF!+#REF!)/6</f>
        <v>#REF!</v>
      </c>
      <c r="G11" s="56">
        <v>0.12</v>
      </c>
      <c r="H11" s="55">
        <v>0.08</v>
      </c>
      <c r="I11" s="55">
        <v>0.06</v>
      </c>
      <c r="J11" s="55">
        <v>0.04</v>
      </c>
      <c r="K11" s="16"/>
      <c r="L11" s="18"/>
      <c r="M11" s="18" t="s">
        <v>328</v>
      </c>
      <c r="N11" s="15" t="s">
        <v>327</v>
      </c>
    </row>
    <row r="12" spans="1:14" s="19" customFormat="1" ht="61.95" customHeight="1" x14ac:dyDescent="0.3">
      <c r="A12" s="91"/>
      <c r="B12" s="18" t="s">
        <v>246</v>
      </c>
      <c r="C12" s="20" t="s">
        <v>249</v>
      </c>
      <c r="D12" s="21" t="s">
        <v>247</v>
      </c>
      <c r="E12" s="18" t="s">
        <v>12</v>
      </c>
      <c r="F12" s="54" t="e">
        <f>SUM(#REF!+#REF!+#REF!+#REF!+#REF!+#REF!)/6</f>
        <v>#REF!</v>
      </c>
      <c r="G12" s="56">
        <v>20</v>
      </c>
      <c r="H12" s="55">
        <v>12</v>
      </c>
      <c r="I12" s="55">
        <v>8</v>
      </c>
      <c r="J12" s="55">
        <v>5</v>
      </c>
      <c r="K12" s="21"/>
      <c r="L12" s="18"/>
      <c r="M12" s="18" t="s">
        <v>328</v>
      </c>
      <c r="N12" s="15" t="s">
        <v>327</v>
      </c>
    </row>
    <row r="13" spans="1:14" s="19" customFormat="1" ht="61.95" customHeight="1" x14ac:dyDescent="0.3">
      <c r="A13" s="91"/>
      <c r="B13" s="18" t="s">
        <v>246</v>
      </c>
      <c r="C13" s="20" t="s">
        <v>250</v>
      </c>
      <c r="D13" s="21" t="s">
        <v>247</v>
      </c>
      <c r="E13" s="18" t="s">
        <v>12</v>
      </c>
      <c r="F13" s="54" t="e">
        <f>SUM(#REF!+#REF!+#REF!+#REF!+#REF!+#REF!)/6</f>
        <v>#REF!</v>
      </c>
      <c r="G13" s="56">
        <v>11</v>
      </c>
      <c r="H13" s="55">
        <v>8</v>
      </c>
      <c r="I13" s="55">
        <v>6</v>
      </c>
      <c r="J13" s="55">
        <v>3</v>
      </c>
      <c r="K13" s="21"/>
      <c r="L13" s="18"/>
      <c r="M13" s="18" t="s">
        <v>328</v>
      </c>
      <c r="N13" s="15" t="s">
        <v>327</v>
      </c>
    </row>
    <row r="14" spans="1:14" s="19" customFormat="1" ht="61.95" customHeight="1" x14ac:dyDescent="0.3">
      <c r="A14" s="92"/>
      <c r="B14" s="18" t="s">
        <v>246</v>
      </c>
      <c r="C14" s="20" t="s">
        <v>251</v>
      </c>
      <c r="D14" s="21" t="s">
        <v>247</v>
      </c>
      <c r="E14" s="18" t="s">
        <v>12</v>
      </c>
      <c r="F14" s="54" t="e">
        <f>SUM(#REF!+#REF!+#REF!+#REF!+#REF!)/5</f>
        <v>#REF!</v>
      </c>
      <c r="G14" s="56">
        <v>35</v>
      </c>
      <c r="H14" s="55">
        <v>20</v>
      </c>
      <c r="I14" s="55">
        <v>10</v>
      </c>
      <c r="J14" s="55">
        <v>5</v>
      </c>
      <c r="K14" s="21"/>
      <c r="L14" s="18"/>
      <c r="M14" s="18" t="s">
        <v>328</v>
      </c>
      <c r="N14" s="15" t="s">
        <v>327</v>
      </c>
    </row>
    <row r="15" spans="1:14" s="19" customFormat="1" ht="68.400000000000006" x14ac:dyDescent="0.3">
      <c r="A15" s="76" t="s">
        <v>307</v>
      </c>
      <c r="B15" s="18" t="s">
        <v>248</v>
      </c>
      <c r="C15" s="20" t="s">
        <v>252</v>
      </c>
      <c r="D15" s="15" t="s">
        <v>8</v>
      </c>
      <c r="E15" s="57" t="s">
        <v>257</v>
      </c>
      <c r="F15" s="58" t="e">
        <f>SUM(#REF!+#REF!+#REF!+#REF!+#REF!+#REF!)/6</f>
        <v>#REF!</v>
      </c>
      <c r="G15" s="56">
        <v>3.5</v>
      </c>
      <c r="H15" s="55">
        <v>3</v>
      </c>
      <c r="I15" s="55">
        <v>2.5</v>
      </c>
      <c r="J15" s="55">
        <v>2</v>
      </c>
      <c r="K15" s="15"/>
      <c r="L15" s="57"/>
      <c r="M15" s="18" t="s">
        <v>328</v>
      </c>
      <c r="N15" s="15" t="s">
        <v>327</v>
      </c>
    </row>
    <row r="16" spans="1:14" s="19" customFormat="1" ht="68.400000000000006" x14ac:dyDescent="0.3">
      <c r="A16" s="76"/>
      <c r="B16" s="18" t="s">
        <v>248</v>
      </c>
      <c r="C16" s="20" t="s">
        <v>271</v>
      </c>
      <c r="D16" s="15" t="s">
        <v>8</v>
      </c>
      <c r="E16" s="57" t="s">
        <v>257</v>
      </c>
      <c r="F16" s="54" t="e">
        <f>SUM(#REF!+#REF!+#REF!+#REF!+#REF!+#REF!)/6</f>
        <v>#REF!</v>
      </c>
      <c r="G16" s="56">
        <v>0.5</v>
      </c>
      <c r="H16" s="55">
        <v>0.3</v>
      </c>
      <c r="I16" s="55">
        <v>0.15</v>
      </c>
      <c r="J16" s="55">
        <v>0.1</v>
      </c>
      <c r="K16" s="15"/>
      <c r="L16" s="57"/>
      <c r="M16" s="18" t="s">
        <v>328</v>
      </c>
      <c r="N16" s="15" t="s">
        <v>327</v>
      </c>
    </row>
    <row r="17" spans="1:14" s="19" customFormat="1" ht="68.400000000000006" x14ac:dyDescent="0.3">
      <c r="A17" s="76"/>
      <c r="B17" s="18" t="s">
        <v>248</v>
      </c>
      <c r="C17" s="20" t="s">
        <v>253</v>
      </c>
      <c r="D17" s="15" t="s">
        <v>8</v>
      </c>
      <c r="E17" s="57" t="s">
        <v>257</v>
      </c>
      <c r="F17" s="54" t="e">
        <f>SUM(#REF!+#REF!+#REF!+#REF!+#REF!+#REF!)/6</f>
        <v>#REF!</v>
      </c>
      <c r="G17" s="56">
        <v>1.5</v>
      </c>
      <c r="H17" s="55">
        <v>1.3</v>
      </c>
      <c r="I17" s="55">
        <v>1.1000000000000001</v>
      </c>
      <c r="J17" s="55">
        <v>0.5</v>
      </c>
      <c r="K17" s="15"/>
      <c r="L17" s="57"/>
      <c r="M17" s="18" t="s">
        <v>328</v>
      </c>
      <c r="N17" s="15" t="s">
        <v>327</v>
      </c>
    </row>
    <row r="18" spans="1:14" s="24" customFormat="1" ht="84.75" customHeight="1" x14ac:dyDescent="0.3">
      <c r="A18" s="87" t="s">
        <v>158</v>
      </c>
      <c r="B18" s="22" t="s">
        <v>243</v>
      </c>
      <c r="C18" s="23" t="s">
        <v>172</v>
      </c>
      <c r="D18" s="23" t="s">
        <v>61</v>
      </c>
      <c r="E18" s="23" t="s">
        <v>62</v>
      </c>
      <c r="F18" s="59">
        <v>0</v>
      </c>
      <c r="G18" s="60">
        <v>0.25</v>
      </c>
      <c r="H18" s="60">
        <v>0.5</v>
      </c>
      <c r="I18" s="60">
        <v>0.7</v>
      </c>
      <c r="J18" s="60">
        <v>0.8</v>
      </c>
      <c r="K18" s="23" t="s">
        <v>328</v>
      </c>
      <c r="L18" s="23"/>
      <c r="M18" s="22" t="s">
        <v>328</v>
      </c>
      <c r="N18" s="23" t="s">
        <v>327</v>
      </c>
    </row>
    <row r="19" spans="1:14" s="24" customFormat="1" ht="84.75" customHeight="1" x14ac:dyDescent="0.3">
      <c r="A19" s="88"/>
      <c r="B19" s="22" t="s">
        <v>244</v>
      </c>
      <c r="C19" s="23" t="s">
        <v>172</v>
      </c>
      <c r="D19" s="23" t="s">
        <v>61</v>
      </c>
      <c r="E19" s="23" t="s">
        <v>62</v>
      </c>
      <c r="F19" s="59">
        <v>0</v>
      </c>
      <c r="G19" s="60">
        <v>0.2</v>
      </c>
      <c r="H19" s="60">
        <v>0.4</v>
      </c>
      <c r="I19" s="60">
        <v>0.5</v>
      </c>
      <c r="J19" s="60">
        <v>0.6</v>
      </c>
      <c r="K19" s="23" t="s">
        <v>328</v>
      </c>
      <c r="L19" s="23"/>
      <c r="M19" s="22" t="s">
        <v>328</v>
      </c>
      <c r="N19" s="23" t="s">
        <v>327</v>
      </c>
    </row>
    <row r="20" spans="1:14" s="24" customFormat="1" ht="84.75" customHeight="1" x14ac:dyDescent="0.3">
      <c r="A20" s="88"/>
      <c r="B20" s="22" t="s">
        <v>245</v>
      </c>
      <c r="C20" s="23" t="s">
        <v>172</v>
      </c>
      <c r="D20" s="23" t="s">
        <v>61</v>
      </c>
      <c r="E20" s="23" t="s">
        <v>62</v>
      </c>
      <c r="F20" s="59">
        <v>0</v>
      </c>
      <c r="G20" s="60">
        <v>0.3</v>
      </c>
      <c r="H20" s="60">
        <v>0.6</v>
      </c>
      <c r="I20" s="60">
        <v>0.8</v>
      </c>
      <c r="J20" s="60">
        <v>0.9</v>
      </c>
      <c r="K20" s="23" t="s">
        <v>328</v>
      </c>
      <c r="L20" s="23"/>
      <c r="M20" s="22" t="s">
        <v>328</v>
      </c>
      <c r="N20" s="23" t="s">
        <v>327</v>
      </c>
    </row>
    <row r="21" spans="1:14" s="24" customFormat="1" ht="84.75" customHeight="1" x14ac:dyDescent="0.3">
      <c r="A21" s="88"/>
      <c r="B21" s="22" t="s">
        <v>173</v>
      </c>
      <c r="C21" s="23" t="s">
        <v>174</v>
      </c>
      <c r="D21" s="23" t="s">
        <v>8</v>
      </c>
      <c r="E21" s="22" t="s">
        <v>9</v>
      </c>
      <c r="F21" s="59">
        <v>0</v>
      </c>
      <c r="G21" s="59" t="s">
        <v>56</v>
      </c>
      <c r="H21" s="59" t="s">
        <v>56</v>
      </c>
      <c r="I21" s="59" t="s">
        <v>56</v>
      </c>
      <c r="J21" s="59" t="s">
        <v>56</v>
      </c>
      <c r="K21" s="23" t="s">
        <v>328</v>
      </c>
      <c r="L21" s="22"/>
      <c r="M21" s="22" t="s">
        <v>328</v>
      </c>
      <c r="N21" s="23" t="s">
        <v>327</v>
      </c>
    </row>
    <row r="22" spans="1:14" s="24" customFormat="1" ht="84.75" customHeight="1" x14ac:dyDescent="0.3">
      <c r="A22" s="88"/>
      <c r="B22" s="22" t="s">
        <v>178</v>
      </c>
      <c r="C22" s="23" t="s">
        <v>176</v>
      </c>
      <c r="D22" s="23" t="s">
        <v>8</v>
      </c>
      <c r="E22" s="22" t="s">
        <v>9</v>
      </c>
      <c r="F22" s="59">
        <v>0</v>
      </c>
      <c r="G22" s="59" t="s">
        <v>56</v>
      </c>
      <c r="H22" s="59" t="s">
        <v>56</v>
      </c>
      <c r="I22" s="59" t="s">
        <v>56</v>
      </c>
      <c r="J22" s="59" t="s">
        <v>56</v>
      </c>
      <c r="K22" s="23" t="s">
        <v>328</v>
      </c>
      <c r="L22" s="22"/>
      <c r="M22" s="22" t="s">
        <v>328</v>
      </c>
      <c r="N22" s="23" t="s">
        <v>327</v>
      </c>
    </row>
    <row r="23" spans="1:14" s="24" customFormat="1" ht="84.75" customHeight="1" x14ac:dyDescent="0.3">
      <c r="A23" s="88"/>
      <c r="B23" s="25" t="s">
        <v>148</v>
      </c>
      <c r="C23" s="26" t="s">
        <v>68</v>
      </c>
      <c r="D23" s="26" t="s">
        <v>66</v>
      </c>
      <c r="E23" s="26" t="s">
        <v>67</v>
      </c>
      <c r="F23" s="61">
        <v>0</v>
      </c>
      <c r="G23" s="61" t="s">
        <v>56</v>
      </c>
      <c r="H23" s="61" t="s">
        <v>56</v>
      </c>
      <c r="I23" s="61" t="s">
        <v>56</v>
      </c>
      <c r="J23" s="61" t="s">
        <v>56</v>
      </c>
      <c r="K23" s="26" t="s">
        <v>328</v>
      </c>
      <c r="L23" s="26"/>
      <c r="M23" s="25" t="s">
        <v>328</v>
      </c>
      <c r="N23" s="23" t="s">
        <v>327</v>
      </c>
    </row>
    <row r="24" spans="1:14" s="24" customFormat="1" ht="84.75" customHeight="1" x14ac:dyDescent="0.3">
      <c r="A24" s="88"/>
      <c r="B24" s="25" t="s">
        <v>149</v>
      </c>
      <c r="C24" s="26" t="s">
        <v>161</v>
      </c>
      <c r="D24" s="26" t="s">
        <v>13</v>
      </c>
      <c r="E24" s="25" t="s">
        <v>12</v>
      </c>
      <c r="F24" s="61">
        <v>0</v>
      </c>
      <c r="G24" s="61">
        <v>30</v>
      </c>
      <c r="H24" s="61">
        <v>50</v>
      </c>
      <c r="I24" s="61">
        <v>70</v>
      </c>
      <c r="J24" s="61">
        <v>70</v>
      </c>
      <c r="K24" s="26" t="s">
        <v>328</v>
      </c>
      <c r="L24" s="25"/>
      <c r="M24" s="25" t="s">
        <v>328</v>
      </c>
      <c r="N24" s="23" t="s">
        <v>327</v>
      </c>
    </row>
    <row r="25" spans="1:14" s="24" customFormat="1" ht="152.55000000000001" customHeight="1" x14ac:dyDescent="0.3">
      <c r="A25" s="88"/>
      <c r="B25" s="25" t="s">
        <v>150</v>
      </c>
      <c r="C25" s="26" t="s">
        <v>63</v>
      </c>
      <c r="D25" s="26" t="s">
        <v>66</v>
      </c>
      <c r="E25" s="26" t="s">
        <v>67</v>
      </c>
      <c r="F25" s="61">
        <v>0</v>
      </c>
      <c r="G25" s="61" t="s">
        <v>56</v>
      </c>
      <c r="H25" s="61" t="s">
        <v>56</v>
      </c>
      <c r="I25" s="61" t="s">
        <v>56</v>
      </c>
      <c r="J25" s="61" t="s">
        <v>56</v>
      </c>
      <c r="K25" s="26" t="s">
        <v>328</v>
      </c>
      <c r="L25" s="26"/>
      <c r="M25" s="25" t="s">
        <v>328</v>
      </c>
      <c r="N25" s="23" t="s">
        <v>327</v>
      </c>
    </row>
    <row r="26" spans="1:14" s="24" customFormat="1" ht="97.05" customHeight="1" x14ac:dyDescent="0.3">
      <c r="A26" s="88"/>
      <c r="B26" s="25" t="s">
        <v>268</v>
      </c>
      <c r="C26" s="26" t="s">
        <v>70</v>
      </c>
      <c r="D26" s="26" t="s">
        <v>13</v>
      </c>
      <c r="E26" s="25" t="s">
        <v>12</v>
      </c>
      <c r="F26" s="61">
        <v>0</v>
      </c>
      <c r="G26" s="61">
        <v>30</v>
      </c>
      <c r="H26" s="61">
        <v>50</v>
      </c>
      <c r="I26" s="61">
        <v>70</v>
      </c>
      <c r="J26" s="61">
        <v>70</v>
      </c>
      <c r="K26" s="26" t="s">
        <v>328</v>
      </c>
      <c r="L26" s="25"/>
      <c r="M26" s="25" t="s">
        <v>328</v>
      </c>
      <c r="N26" s="23" t="s">
        <v>327</v>
      </c>
    </row>
    <row r="27" spans="1:14" s="24" customFormat="1" ht="94.05" customHeight="1" x14ac:dyDescent="0.3">
      <c r="A27" s="88"/>
      <c r="B27" s="25" t="s">
        <v>269</v>
      </c>
      <c r="C27" s="26" t="s">
        <v>72</v>
      </c>
      <c r="D27" s="26" t="s">
        <v>13</v>
      </c>
      <c r="E27" s="25" t="s">
        <v>12</v>
      </c>
      <c r="F27" s="61">
        <v>0</v>
      </c>
      <c r="G27" s="61">
        <v>30</v>
      </c>
      <c r="H27" s="61">
        <v>50</v>
      </c>
      <c r="I27" s="61">
        <v>70</v>
      </c>
      <c r="J27" s="61">
        <v>70</v>
      </c>
      <c r="K27" s="26" t="s">
        <v>328</v>
      </c>
      <c r="L27" s="25"/>
      <c r="M27" s="25" t="s">
        <v>328</v>
      </c>
      <c r="N27" s="23" t="s">
        <v>327</v>
      </c>
    </row>
    <row r="28" spans="1:14" s="24" customFormat="1" ht="88.05" customHeight="1" x14ac:dyDescent="0.3">
      <c r="A28" s="88"/>
      <c r="B28" s="25" t="s">
        <v>270</v>
      </c>
      <c r="C28" s="26" t="s">
        <v>267</v>
      </c>
      <c r="D28" s="26" t="s">
        <v>13</v>
      </c>
      <c r="E28" s="25" t="s">
        <v>12</v>
      </c>
      <c r="F28" s="61">
        <v>0</v>
      </c>
      <c r="G28" s="61">
        <v>30</v>
      </c>
      <c r="H28" s="61">
        <v>50</v>
      </c>
      <c r="I28" s="61">
        <v>70</v>
      </c>
      <c r="J28" s="61">
        <v>70</v>
      </c>
      <c r="K28" s="26" t="s">
        <v>328</v>
      </c>
      <c r="L28" s="25"/>
      <c r="M28" s="25" t="s">
        <v>328</v>
      </c>
      <c r="N28" s="23" t="s">
        <v>327</v>
      </c>
    </row>
    <row r="29" spans="1:14" s="29" customFormat="1" ht="75.75" customHeight="1" x14ac:dyDescent="0.3">
      <c r="A29" s="88"/>
      <c r="B29" s="27" t="s">
        <v>167</v>
      </c>
      <c r="C29" s="27" t="s">
        <v>193</v>
      </c>
      <c r="D29" s="27" t="s">
        <v>185</v>
      </c>
      <c r="E29" s="28" t="s">
        <v>16</v>
      </c>
      <c r="F29" s="62">
        <v>0</v>
      </c>
      <c r="G29" s="62">
        <v>30</v>
      </c>
      <c r="H29" s="62">
        <v>50</v>
      </c>
      <c r="I29" s="62">
        <v>80</v>
      </c>
      <c r="J29" s="62">
        <v>80</v>
      </c>
      <c r="K29" s="27" t="s">
        <v>328</v>
      </c>
      <c r="L29" s="28"/>
      <c r="M29" s="27" t="s">
        <v>328</v>
      </c>
      <c r="N29" s="28" t="s">
        <v>327</v>
      </c>
    </row>
    <row r="30" spans="1:14" s="29" customFormat="1" ht="75.75" customHeight="1" x14ac:dyDescent="0.3">
      <c r="A30" s="88"/>
      <c r="B30" s="27" t="s">
        <v>169</v>
      </c>
      <c r="C30" s="27" t="s">
        <v>194</v>
      </c>
      <c r="D30" s="27" t="s">
        <v>192</v>
      </c>
      <c r="E30" s="28" t="s">
        <v>16</v>
      </c>
      <c r="F30" s="62">
        <v>0</v>
      </c>
      <c r="G30" s="62">
        <v>80</v>
      </c>
      <c r="H30" s="62">
        <v>100</v>
      </c>
      <c r="I30" s="62">
        <v>100</v>
      </c>
      <c r="J30" s="62">
        <v>100</v>
      </c>
      <c r="K30" s="27" t="s">
        <v>328</v>
      </c>
      <c r="L30" s="28"/>
      <c r="M30" s="27" t="s">
        <v>328</v>
      </c>
      <c r="N30" s="28" t="s">
        <v>327</v>
      </c>
    </row>
    <row r="31" spans="1:14" s="30" customFormat="1" ht="75.75" customHeight="1" x14ac:dyDescent="0.3">
      <c r="A31" s="89"/>
      <c r="B31" s="27" t="s">
        <v>170</v>
      </c>
      <c r="C31" s="27" t="s">
        <v>197</v>
      </c>
      <c r="D31" s="27" t="s">
        <v>199</v>
      </c>
      <c r="E31" s="27" t="s">
        <v>12</v>
      </c>
      <c r="F31" s="62">
        <v>0</v>
      </c>
      <c r="G31" s="62">
        <v>80</v>
      </c>
      <c r="H31" s="62">
        <v>90</v>
      </c>
      <c r="I31" s="62">
        <v>100</v>
      </c>
      <c r="J31" s="62">
        <v>100</v>
      </c>
      <c r="K31" s="27" t="s">
        <v>328</v>
      </c>
      <c r="L31" s="27"/>
      <c r="M31" s="27" t="s">
        <v>328</v>
      </c>
      <c r="N31" s="28" t="s">
        <v>327</v>
      </c>
    </row>
    <row r="32" spans="1:14" s="33" customFormat="1" ht="79.8" x14ac:dyDescent="0.3">
      <c r="A32" s="31" t="s">
        <v>73</v>
      </c>
      <c r="B32" s="31" t="s">
        <v>14</v>
      </c>
      <c r="C32" s="31" t="s">
        <v>74</v>
      </c>
      <c r="D32" s="32" t="s">
        <v>15</v>
      </c>
      <c r="E32" s="32" t="s">
        <v>16</v>
      </c>
      <c r="F32" s="63">
        <v>0</v>
      </c>
      <c r="G32" s="63">
        <v>2086</v>
      </c>
      <c r="H32" s="63">
        <v>0</v>
      </c>
      <c r="I32" s="63">
        <v>0</v>
      </c>
      <c r="J32" s="63">
        <v>2086</v>
      </c>
      <c r="K32" s="32">
        <v>2086</v>
      </c>
      <c r="L32" s="32"/>
      <c r="M32" s="31">
        <v>1214</v>
      </c>
      <c r="N32" s="32" t="s">
        <v>302</v>
      </c>
    </row>
    <row r="33" spans="1:14" s="33" customFormat="1" ht="79.8" x14ac:dyDescent="0.3">
      <c r="A33" s="31" t="s">
        <v>309</v>
      </c>
      <c r="B33" s="31" t="s">
        <v>17</v>
      </c>
      <c r="C33" s="31" t="s">
        <v>78</v>
      </c>
      <c r="D33" s="32" t="s">
        <v>18</v>
      </c>
      <c r="E33" s="32" t="s">
        <v>19</v>
      </c>
      <c r="F33" s="63">
        <v>0</v>
      </c>
      <c r="G33" s="63">
        <v>1043</v>
      </c>
      <c r="H33" s="63">
        <v>1043</v>
      </c>
      <c r="I33" s="63"/>
      <c r="J33" s="63">
        <v>2086</v>
      </c>
      <c r="K33" s="32" t="s">
        <v>328</v>
      </c>
      <c r="L33" s="32"/>
      <c r="M33" s="31"/>
      <c r="N33" s="32" t="s">
        <v>327</v>
      </c>
    </row>
    <row r="34" spans="1:14" s="33" customFormat="1" ht="91.2" x14ac:dyDescent="0.3">
      <c r="A34" s="31" t="s">
        <v>310</v>
      </c>
      <c r="B34" s="31" t="s">
        <v>159</v>
      </c>
      <c r="C34" s="31" t="s">
        <v>160</v>
      </c>
      <c r="D34" s="32"/>
      <c r="E34" s="32"/>
      <c r="F34" s="63">
        <v>0</v>
      </c>
      <c r="G34" s="63">
        <v>1043</v>
      </c>
      <c r="H34" s="63">
        <v>1043</v>
      </c>
      <c r="I34" s="63"/>
      <c r="J34" s="63">
        <v>2086</v>
      </c>
      <c r="K34" s="32" t="s">
        <v>328</v>
      </c>
      <c r="L34" s="32"/>
      <c r="M34" s="31"/>
      <c r="N34" s="32" t="s">
        <v>327</v>
      </c>
    </row>
    <row r="35" spans="1:14" s="33" customFormat="1" ht="79.8" x14ac:dyDescent="0.3">
      <c r="A35" s="31" t="s">
        <v>272</v>
      </c>
      <c r="B35" s="31" t="s">
        <v>21</v>
      </c>
      <c r="C35" s="31" t="s">
        <v>80</v>
      </c>
      <c r="D35" s="32" t="s">
        <v>18</v>
      </c>
      <c r="E35" s="32" t="s">
        <v>19</v>
      </c>
      <c r="F35" s="63">
        <v>0</v>
      </c>
      <c r="G35" s="63">
        <v>81</v>
      </c>
      <c r="H35" s="63">
        <v>82</v>
      </c>
      <c r="I35" s="63">
        <v>0</v>
      </c>
      <c r="J35" s="63">
        <v>163</v>
      </c>
      <c r="K35" s="32" t="s">
        <v>328</v>
      </c>
      <c r="L35" s="32"/>
      <c r="M35" s="31"/>
      <c r="N35" s="32" t="s">
        <v>327</v>
      </c>
    </row>
    <row r="36" spans="1:14" s="33" customFormat="1" ht="91.2" x14ac:dyDescent="0.3">
      <c r="A36" s="31" t="s">
        <v>311</v>
      </c>
      <c r="B36" s="31" t="s">
        <v>22</v>
      </c>
      <c r="C36" s="31" t="s">
        <v>82</v>
      </c>
      <c r="D36" s="32" t="s">
        <v>23</v>
      </c>
      <c r="E36" s="32" t="s">
        <v>19</v>
      </c>
      <c r="F36" s="63">
        <v>0</v>
      </c>
      <c r="G36" s="63">
        <v>1043</v>
      </c>
      <c r="H36" s="63">
        <v>1043</v>
      </c>
      <c r="I36" s="63">
        <v>0</v>
      </c>
      <c r="J36" s="63">
        <v>2086</v>
      </c>
      <c r="K36" s="32" t="s">
        <v>328</v>
      </c>
      <c r="L36" s="32"/>
      <c r="M36" s="31"/>
      <c r="N36" s="32" t="s">
        <v>327</v>
      </c>
    </row>
    <row r="37" spans="1:14" s="29" customFormat="1" ht="91.2" x14ac:dyDescent="0.3">
      <c r="A37" s="34" t="s">
        <v>312</v>
      </c>
      <c r="B37" s="35" t="s">
        <v>151</v>
      </c>
      <c r="C37" s="35" t="s">
        <v>162</v>
      </c>
      <c r="D37" s="36" t="s">
        <v>23</v>
      </c>
      <c r="E37" s="36" t="s">
        <v>19</v>
      </c>
      <c r="F37" s="64">
        <v>0</v>
      </c>
      <c r="G37" s="64">
        <v>1043</v>
      </c>
      <c r="H37" s="64">
        <v>1043</v>
      </c>
      <c r="I37" s="64">
        <v>0</v>
      </c>
      <c r="J37" s="64">
        <v>2086</v>
      </c>
      <c r="K37" s="36" t="s">
        <v>328</v>
      </c>
      <c r="L37" s="36"/>
      <c r="M37" s="35"/>
      <c r="N37" s="36" t="s">
        <v>327</v>
      </c>
    </row>
    <row r="38" spans="1:14" s="39" customFormat="1" ht="66.75" customHeight="1" x14ac:dyDescent="0.3">
      <c r="A38" s="84" t="s">
        <v>313</v>
      </c>
      <c r="B38" s="37" t="s">
        <v>274</v>
      </c>
      <c r="C38" s="37" t="s">
        <v>84</v>
      </c>
      <c r="D38" s="38" t="s">
        <v>86</v>
      </c>
      <c r="E38" s="38" t="s">
        <v>87</v>
      </c>
      <c r="F38" s="65">
        <v>0</v>
      </c>
      <c r="G38" s="65">
        <v>100</v>
      </c>
      <c r="H38" s="65">
        <v>100</v>
      </c>
      <c r="I38" s="65">
        <v>100</v>
      </c>
      <c r="J38" s="65">
        <v>100</v>
      </c>
      <c r="K38" s="38" t="s">
        <v>328</v>
      </c>
      <c r="L38" s="38"/>
      <c r="M38" s="37"/>
      <c r="N38" s="38" t="s">
        <v>327</v>
      </c>
    </row>
    <row r="39" spans="1:14" s="39" customFormat="1" ht="66.75" customHeight="1" x14ac:dyDescent="0.3">
      <c r="A39" s="85"/>
      <c r="B39" s="37" t="s">
        <v>89</v>
      </c>
      <c r="C39" s="37" t="s">
        <v>90</v>
      </c>
      <c r="D39" s="38" t="s">
        <v>92</v>
      </c>
      <c r="E39" s="38" t="s">
        <v>24</v>
      </c>
      <c r="F39" s="65">
        <v>0</v>
      </c>
      <c r="G39" s="65">
        <v>40</v>
      </c>
      <c r="H39" s="65">
        <v>60</v>
      </c>
      <c r="I39" s="65">
        <v>90</v>
      </c>
      <c r="J39" s="65">
        <v>90</v>
      </c>
      <c r="K39" s="38" t="s">
        <v>328</v>
      </c>
      <c r="L39" s="38"/>
      <c r="M39" s="37"/>
      <c r="N39" s="38" t="s">
        <v>327</v>
      </c>
    </row>
    <row r="40" spans="1:14" s="39" customFormat="1" ht="67.5" customHeight="1" x14ac:dyDescent="0.3">
      <c r="A40" s="86"/>
      <c r="B40" s="37" t="s">
        <v>93</v>
      </c>
      <c r="C40" s="37" t="s">
        <v>94</v>
      </c>
      <c r="D40" s="38" t="s">
        <v>92</v>
      </c>
      <c r="E40" s="38" t="s">
        <v>24</v>
      </c>
      <c r="F40" s="65">
        <v>0</v>
      </c>
      <c r="G40" s="65">
        <v>50</v>
      </c>
      <c r="H40" s="65">
        <v>60</v>
      </c>
      <c r="I40" s="65">
        <v>70</v>
      </c>
      <c r="J40" s="65">
        <v>70</v>
      </c>
      <c r="K40" s="38" t="s">
        <v>328</v>
      </c>
      <c r="L40" s="38"/>
      <c r="M40" s="37"/>
      <c r="N40" s="38" t="s">
        <v>327</v>
      </c>
    </row>
    <row r="41" spans="1:14" s="39" customFormat="1" ht="63" customHeight="1" x14ac:dyDescent="0.3">
      <c r="A41" s="70" t="s">
        <v>325</v>
      </c>
      <c r="B41" s="40" t="s">
        <v>26</v>
      </c>
      <c r="C41" s="40" t="s">
        <v>96</v>
      </c>
      <c r="D41" s="41" t="s">
        <v>18</v>
      </c>
      <c r="E41" s="41" t="s">
        <v>19</v>
      </c>
      <c r="F41" s="66">
        <v>0</v>
      </c>
      <c r="G41" s="66">
        <v>1043</v>
      </c>
      <c r="H41" s="66">
        <v>1043</v>
      </c>
      <c r="I41" s="66">
        <v>0</v>
      </c>
      <c r="J41" s="66">
        <v>2086</v>
      </c>
      <c r="K41" s="41" t="s">
        <v>328</v>
      </c>
      <c r="L41" s="41"/>
      <c r="M41" s="40"/>
      <c r="N41" s="41" t="s">
        <v>327</v>
      </c>
    </row>
    <row r="42" spans="1:14" s="39" customFormat="1" ht="63" customHeight="1" x14ac:dyDescent="0.3">
      <c r="A42" s="77"/>
      <c r="B42" s="40" t="s">
        <v>208</v>
      </c>
      <c r="C42" s="40" t="s">
        <v>209</v>
      </c>
      <c r="D42" s="41" t="s">
        <v>225</v>
      </c>
      <c r="E42" s="41" t="s">
        <v>19</v>
      </c>
      <c r="F42" s="66">
        <v>0</v>
      </c>
      <c r="G42" s="66"/>
      <c r="H42" s="66"/>
      <c r="I42" s="66"/>
      <c r="J42" s="66"/>
      <c r="K42" s="41" t="s">
        <v>328</v>
      </c>
      <c r="L42" s="41"/>
      <c r="M42" s="40"/>
      <c r="N42" s="41" t="s">
        <v>327</v>
      </c>
    </row>
    <row r="43" spans="1:14" s="39" customFormat="1" ht="63" customHeight="1" x14ac:dyDescent="0.3">
      <c r="A43" s="77"/>
      <c r="B43" s="40" t="s">
        <v>211</v>
      </c>
      <c r="C43" s="40" t="s">
        <v>212</v>
      </c>
      <c r="D43" s="41" t="s">
        <v>225</v>
      </c>
      <c r="E43" s="41" t="s">
        <v>19</v>
      </c>
      <c r="F43" s="66">
        <v>0</v>
      </c>
      <c r="G43" s="66"/>
      <c r="H43" s="66"/>
      <c r="I43" s="66"/>
      <c r="J43" s="66"/>
      <c r="K43" s="41" t="s">
        <v>328</v>
      </c>
      <c r="L43" s="41"/>
      <c r="M43" s="40"/>
      <c r="N43" s="41" t="s">
        <v>327</v>
      </c>
    </row>
    <row r="44" spans="1:14" s="39" customFormat="1" ht="63" customHeight="1" x14ac:dyDescent="0.3">
      <c r="A44" s="77"/>
      <c r="B44" s="40" t="s">
        <v>214</v>
      </c>
      <c r="C44" s="40" t="s">
        <v>215</v>
      </c>
      <c r="D44" s="41" t="s">
        <v>226</v>
      </c>
      <c r="E44" s="41" t="s">
        <v>19</v>
      </c>
      <c r="F44" s="66">
        <v>0</v>
      </c>
      <c r="G44" s="66"/>
      <c r="H44" s="66"/>
      <c r="I44" s="66"/>
      <c r="J44" s="66"/>
      <c r="K44" s="41" t="s">
        <v>328</v>
      </c>
      <c r="L44" s="41"/>
      <c r="M44" s="40"/>
      <c r="N44" s="41" t="s">
        <v>327</v>
      </c>
    </row>
    <row r="45" spans="1:14" s="39" customFormat="1" ht="63" customHeight="1" x14ac:dyDescent="0.3">
      <c r="A45" s="77"/>
      <c r="B45" s="40" t="s">
        <v>217</v>
      </c>
      <c r="C45" s="40" t="s">
        <v>218</v>
      </c>
      <c r="D45" s="41" t="s">
        <v>226</v>
      </c>
      <c r="E45" s="41" t="s">
        <v>19</v>
      </c>
      <c r="F45" s="66">
        <v>0</v>
      </c>
      <c r="G45" s="66">
        <v>6</v>
      </c>
      <c r="H45" s="66"/>
      <c r="I45" s="66"/>
      <c r="J45" s="66"/>
      <c r="K45" s="41" t="s">
        <v>328</v>
      </c>
      <c r="L45" s="41"/>
      <c r="M45" s="40"/>
      <c r="N45" s="41" t="s">
        <v>327</v>
      </c>
    </row>
    <row r="46" spans="1:14" s="39" customFormat="1" ht="63" customHeight="1" x14ac:dyDescent="0.3">
      <c r="A46" s="77"/>
      <c r="B46" s="40" t="s">
        <v>265</v>
      </c>
      <c r="C46" s="40" t="s">
        <v>220</v>
      </c>
      <c r="D46" s="41" t="s">
        <v>226</v>
      </c>
      <c r="E46" s="41" t="s">
        <v>19</v>
      </c>
      <c r="F46" s="66">
        <v>0</v>
      </c>
      <c r="G46" s="66">
        <v>2</v>
      </c>
      <c r="H46" s="66"/>
      <c r="I46" s="66"/>
      <c r="J46" s="66"/>
      <c r="K46" s="41" t="s">
        <v>328</v>
      </c>
      <c r="L46" s="41"/>
      <c r="M46" s="40"/>
      <c r="N46" s="41" t="s">
        <v>327</v>
      </c>
    </row>
    <row r="47" spans="1:14" s="39" customFormat="1" ht="63" customHeight="1" x14ac:dyDescent="0.3">
      <c r="A47" s="71"/>
      <c r="B47" s="40" t="s">
        <v>223</v>
      </c>
      <c r="C47" s="40" t="s">
        <v>224</v>
      </c>
      <c r="D47" s="41" t="s">
        <v>226</v>
      </c>
      <c r="E47" s="41" t="s">
        <v>19</v>
      </c>
      <c r="F47" s="66">
        <v>0</v>
      </c>
      <c r="G47" s="66">
        <v>163</v>
      </c>
      <c r="H47" s="66"/>
      <c r="I47" s="66"/>
      <c r="J47" s="66"/>
      <c r="K47" s="41" t="s">
        <v>328</v>
      </c>
      <c r="L47" s="41"/>
      <c r="M47" s="40"/>
      <c r="N47" s="41" t="s">
        <v>327</v>
      </c>
    </row>
    <row r="48" spans="1:14" s="39" customFormat="1" ht="63" customHeight="1" x14ac:dyDescent="0.3">
      <c r="A48" s="78" t="s">
        <v>314</v>
      </c>
      <c r="B48" s="40" t="s">
        <v>227</v>
      </c>
      <c r="C48" s="40" t="s">
        <v>228</v>
      </c>
      <c r="D48" s="41" t="s">
        <v>226</v>
      </c>
      <c r="E48" s="41" t="s">
        <v>19</v>
      </c>
      <c r="F48" s="66">
        <v>0</v>
      </c>
      <c r="G48" s="66">
        <v>163</v>
      </c>
      <c r="H48" s="66"/>
      <c r="I48" s="66"/>
      <c r="J48" s="66"/>
      <c r="K48" s="41" t="s">
        <v>328</v>
      </c>
      <c r="L48" s="41"/>
      <c r="M48" s="40"/>
      <c r="N48" s="41" t="s">
        <v>327</v>
      </c>
    </row>
    <row r="49" spans="1:14" s="39" customFormat="1" ht="63" customHeight="1" x14ac:dyDescent="0.3">
      <c r="A49" s="79"/>
      <c r="B49" s="40" t="s">
        <v>230</v>
      </c>
      <c r="C49" s="40" t="s">
        <v>231</v>
      </c>
      <c r="D49" s="41" t="s">
        <v>226</v>
      </c>
      <c r="E49" s="41" t="s">
        <v>19</v>
      </c>
      <c r="F49" s="66">
        <v>0</v>
      </c>
      <c r="G49" s="66">
        <v>6</v>
      </c>
      <c r="H49" s="66"/>
      <c r="I49" s="66"/>
      <c r="J49" s="66"/>
      <c r="K49" s="41" t="s">
        <v>328</v>
      </c>
      <c r="L49" s="41"/>
      <c r="M49" s="40"/>
      <c r="N49" s="41" t="s">
        <v>327</v>
      </c>
    </row>
    <row r="50" spans="1:14" s="39" customFormat="1" ht="63" customHeight="1" x14ac:dyDescent="0.3">
      <c r="A50" s="79"/>
      <c r="B50" s="40" t="s">
        <v>233</v>
      </c>
      <c r="C50" s="40" t="s">
        <v>234</v>
      </c>
      <c r="D50" s="41" t="s">
        <v>226</v>
      </c>
      <c r="E50" s="41" t="s">
        <v>19</v>
      </c>
      <c r="F50" s="66">
        <v>0</v>
      </c>
      <c r="G50" s="66">
        <v>6</v>
      </c>
      <c r="H50" s="66"/>
      <c r="I50" s="66"/>
      <c r="J50" s="66"/>
      <c r="K50" s="41" t="s">
        <v>328</v>
      </c>
      <c r="L50" s="41"/>
      <c r="M50" s="40"/>
      <c r="N50" s="41" t="s">
        <v>327</v>
      </c>
    </row>
    <row r="51" spans="1:14" s="39" customFormat="1" ht="63" customHeight="1" x14ac:dyDescent="0.3">
      <c r="A51" s="80"/>
      <c r="B51" s="40" t="s">
        <v>236</v>
      </c>
      <c r="C51" s="40" t="s">
        <v>237</v>
      </c>
      <c r="D51" s="41" t="s">
        <v>226</v>
      </c>
      <c r="E51" s="41" t="s">
        <v>19</v>
      </c>
      <c r="F51" s="66">
        <v>0</v>
      </c>
      <c r="G51" s="66"/>
      <c r="H51" s="66"/>
      <c r="I51" s="66"/>
      <c r="J51" s="66"/>
      <c r="K51" s="41" t="s">
        <v>328</v>
      </c>
      <c r="L51" s="41"/>
      <c r="M51" s="40"/>
      <c r="N51" s="41" t="s">
        <v>327</v>
      </c>
    </row>
    <row r="52" spans="1:14" s="17" customFormat="1" ht="60" x14ac:dyDescent="0.3">
      <c r="A52" s="43" t="s">
        <v>98</v>
      </c>
      <c r="B52" s="14"/>
      <c r="C52" s="14"/>
      <c r="D52" s="14"/>
      <c r="E52" s="14"/>
      <c r="F52" s="55"/>
      <c r="G52" s="55"/>
      <c r="H52" s="55"/>
      <c r="I52" s="55"/>
      <c r="J52" s="55"/>
      <c r="K52" s="14"/>
      <c r="L52" s="14"/>
      <c r="M52" s="14"/>
      <c r="N52" s="14"/>
    </row>
    <row r="53" spans="1:14" s="39" customFormat="1" ht="82.5" customHeight="1" x14ac:dyDescent="0.3">
      <c r="A53" s="81" t="s">
        <v>27</v>
      </c>
      <c r="B53" s="37" t="s">
        <v>28</v>
      </c>
      <c r="C53" s="38" t="s">
        <v>163</v>
      </c>
      <c r="D53" s="38" t="s">
        <v>29</v>
      </c>
      <c r="E53" s="38" t="s">
        <v>30</v>
      </c>
      <c r="F53" s="65">
        <v>0</v>
      </c>
      <c r="G53" s="65">
        <v>80</v>
      </c>
      <c r="H53" s="65">
        <v>90</v>
      </c>
      <c r="I53" s="65">
        <v>95</v>
      </c>
      <c r="J53" s="65">
        <v>95</v>
      </c>
      <c r="K53" s="38" t="s">
        <v>328</v>
      </c>
      <c r="L53" s="38"/>
      <c r="M53" s="37"/>
      <c r="N53" s="38" t="s">
        <v>327</v>
      </c>
    </row>
    <row r="54" spans="1:14" s="39" customFormat="1" ht="81.75" customHeight="1" x14ac:dyDescent="0.3">
      <c r="A54" s="82"/>
      <c r="B54" s="37" t="s">
        <v>32</v>
      </c>
      <c r="C54" s="38" t="s">
        <v>164</v>
      </c>
      <c r="D54" s="38" t="s">
        <v>33</v>
      </c>
      <c r="E54" s="38" t="s">
        <v>34</v>
      </c>
      <c r="F54" s="65">
        <v>0</v>
      </c>
      <c r="G54" s="65">
        <v>80</v>
      </c>
      <c r="H54" s="65">
        <v>90</v>
      </c>
      <c r="I54" s="65">
        <v>95</v>
      </c>
      <c r="J54" s="65">
        <v>95</v>
      </c>
      <c r="K54" s="38" t="s">
        <v>328</v>
      </c>
      <c r="L54" s="38"/>
      <c r="M54" s="37"/>
      <c r="N54" s="38" t="s">
        <v>327</v>
      </c>
    </row>
    <row r="55" spans="1:14" s="39" customFormat="1" ht="87" customHeight="1" x14ac:dyDescent="0.3">
      <c r="A55" s="83"/>
      <c r="B55" s="37" t="s">
        <v>35</v>
      </c>
      <c r="C55" s="38" t="s">
        <v>165</v>
      </c>
      <c r="D55" s="38" t="s">
        <v>29</v>
      </c>
      <c r="E55" s="38" t="s">
        <v>30</v>
      </c>
      <c r="F55" s="65">
        <v>0</v>
      </c>
      <c r="G55" s="65">
        <v>80</v>
      </c>
      <c r="H55" s="65">
        <v>90</v>
      </c>
      <c r="I55" s="65">
        <v>95</v>
      </c>
      <c r="J55" s="65">
        <v>95</v>
      </c>
      <c r="K55" s="38" t="s">
        <v>328</v>
      </c>
      <c r="L55" s="38"/>
      <c r="M55" s="37"/>
      <c r="N55" s="38" t="s">
        <v>327</v>
      </c>
    </row>
    <row r="56" spans="1:14" s="39" customFormat="1" ht="57" x14ac:dyDescent="0.3">
      <c r="A56" s="40" t="s">
        <v>102</v>
      </c>
      <c r="B56" s="40" t="s">
        <v>36</v>
      </c>
      <c r="C56" s="40" t="s">
        <v>103</v>
      </c>
      <c r="D56" s="41" t="s">
        <v>18</v>
      </c>
      <c r="E56" s="41" t="s">
        <v>19</v>
      </c>
      <c r="F56" s="66">
        <v>0</v>
      </c>
      <c r="G56" s="66"/>
      <c r="H56" s="66"/>
      <c r="I56" s="66">
        <v>0</v>
      </c>
      <c r="J56" s="66">
        <f>SUM(G56:I56)</f>
        <v>0</v>
      </c>
      <c r="K56" s="41" t="s">
        <v>328</v>
      </c>
      <c r="L56" s="41"/>
      <c r="M56" s="40"/>
      <c r="N56" s="41" t="s">
        <v>327</v>
      </c>
    </row>
    <row r="57" spans="1:14" s="39" customFormat="1" ht="94.5" customHeight="1" x14ac:dyDescent="0.3">
      <c r="A57" s="40" t="s">
        <v>105</v>
      </c>
      <c r="B57" s="40" t="s">
        <v>37</v>
      </c>
      <c r="C57" s="40" t="s">
        <v>106</v>
      </c>
      <c r="D57" s="41" t="s">
        <v>18</v>
      </c>
      <c r="E57" s="41" t="s">
        <v>19</v>
      </c>
      <c r="F57" s="66">
        <v>0</v>
      </c>
      <c r="G57" s="66">
        <v>81</v>
      </c>
      <c r="H57" s="66">
        <v>82</v>
      </c>
      <c r="I57" s="66">
        <v>0</v>
      </c>
      <c r="J57" s="66">
        <f>SUM(G57:I57)</f>
        <v>163</v>
      </c>
      <c r="K57" s="41" t="s">
        <v>328</v>
      </c>
      <c r="L57" s="41"/>
      <c r="M57" s="40"/>
      <c r="N57" s="41" t="s">
        <v>327</v>
      </c>
    </row>
    <row r="58" spans="1:14" s="29" customFormat="1" ht="75.75" customHeight="1" x14ac:dyDescent="0.3">
      <c r="A58" s="35" t="s">
        <v>275</v>
      </c>
      <c r="B58" s="35" t="s">
        <v>152</v>
      </c>
      <c r="C58" s="35" t="s">
        <v>181</v>
      </c>
      <c r="D58" s="36" t="s">
        <v>201</v>
      </c>
      <c r="E58" s="36" t="s">
        <v>19</v>
      </c>
      <c r="F58" s="64">
        <v>0</v>
      </c>
      <c r="G58" s="64">
        <v>0</v>
      </c>
      <c r="H58" s="64">
        <v>1</v>
      </c>
      <c r="I58" s="64">
        <v>1</v>
      </c>
      <c r="J58" s="64"/>
      <c r="K58" s="36" t="s">
        <v>328</v>
      </c>
      <c r="L58" s="36"/>
      <c r="M58" s="35"/>
      <c r="N58" s="36" t="s">
        <v>327</v>
      </c>
    </row>
    <row r="59" spans="1:14" s="29" customFormat="1" ht="75.75" customHeight="1" x14ac:dyDescent="0.3">
      <c r="A59" s="35" t="s">
        <v>276</v>
      </c>
      <c r="B59" s="35" t="s">
        <v>154</v>
      </c>
      <c r="C59" s="35" t="s">
        <v>154</v>
      </c>
      <c r="D59" s="36" t="s">
        <v>202</v>
      </c>
      <c r="E59" s="36" t="s">
        <v>19</v>
      </c>
      <c r="F59" s="64">
        <v>0</v>
      </c>
      <c r="G59" s="64">
        <v>0</v>
      </c>
      <c r="H59" s="64">
        <v>1</v>
      </c>
      <c r="I59" s="64">
        <v>1</v>
      </c>
      <c r="J59" s="64"/>
      <c r="K59" s="36" t="s">
        <v>328</v>
      </c>
      <c r="L59" s="36"/>
      <c r="M59" s="35"/>
      <c r="N59" s="36" t="s">
        <v>327</v>
      </c>
    </row>
    <row r="60" spans="1:14" s="29" customFormat="1" ht="75.75" customHeight="1" x14ac:dyDescent="0.3">
      <c r="A60" s="35"/>
      <c r="B60" s="35" t="s">
        <v>182</v>
      </c>
      <c r="C60" s="35" t="s">
        <v>183</v>
      </c>
      <c r="D60" s="35" t="s">
        <v>185</v>
      </c>
      <c r="E60" s="36" t="s">
        <v>204</v>
      </c>
      <c r="F60" s="64">
        <v>0</v>
      </c>
      <c r="G60" s="64">
        <v>0</v>
      </c>
      <c r="H60" s="64">
        <v>1043</v>
      </c>
      <c r="I60" s="64">
        <v>1043</v>
      </c>
      <c r="J60" s="64">
        <v>2086</v>
      </c>
      <c r="K60" s="35" t="s">
        <v>328</v>
      </c>
      <c r="L60" s="36"/>
      <c r="M60" s="35"/>
      <c r="N60" s="36" t="s">
        <v>327</v>
      </c>
    </row>
    <row r="61" spans="1:14" s="29" customFormat="1" ht="75.75" customHeight="1" x14ac:dyDescent="0.3">
      <c r="A61" s="35"/>
      <c r="B61" s="35" t="s">
        <v>186</v>
      </c>
      <c r="C61" s="35" t="s">
        <v>186</v>
      </c>
      <c r="D61" s="35" t="s">
        <v>192</v>
      </c>
      <c r="E61" s="35" t="s">
        <v>205</v>
      </c>
      <c r="F61" s="64">
        <v>0</v>
      </c>
      <c r="G61" s="64">
        <v>0</v>
      </c>
      <c r="H61" s="64">
        <v>1043</v>
      </c>
      <c r="I61" s="64">
        <v>1043</v>
      </c>
      <c r="J61" s="64">
        <v>2086</v>
      </c>
      <c r="K61" s="35" t="s">
        <v>328</v>
      </c>
      <c r="L61" s="35"/>
      <c r="M61" s="35"/>
      <c r="N61" s="36" t="s">
        <v>327</v>
      </c>
    </row>
    <row r="62" spans="1:14" s="29" customFormat="1" ht="75.75" customHeight="1" x14ac:dyDescent="0.3">
      <c r="A62" s="35"/>
      <c r="B62" s="35" t="s">
        <v>188</v>
      </c>
      <c r="C62" s="35" t="s">
        <v>190</v>
      </c>
      <c r="D62" s="36" t="s">
        <v>11</v>
      </c>
      <c r="E62" s="35" t="s">
        <v>39</v>
      </c>
      <c r="F62" s="64">
        <v>0</v>
      </c>
      <c r="G62" s="64">
        <v>0</v>
      </c>
      <c r="H62" s="64" t="s">
        <v>56</v>
      </c>
      <c r="I62" s="64" t="s">
        <v>56</v>
      </c>
      <c r="J62" s="64" t="s">
        <v>56</v>
      </c>
      <c r="K62" s="36" t="s">
        <v>328</v>
      </c>
      <c r="L62" s="35"/>
      <c r="M62" s="35"/>
      <c r="N62" s="36" t="s">
        <v>327</v>
      </c>
    </row>
    <row r="63" spans="1:14" s="29" customFormat="1" ht="75.75" customHeight="1" x14ac:dyDescent="0.3">
      <c r="A63" s="35"/>
      <c r="B63" s="35" t="s">
        <v>189</v>
      </c>
      <c r="C63" s="35" t="s">
        <v>189</v>
      </c>
      <c r="D63" s="36" t="s">
        <v>11</v>
      </c>
      <c r="E63" s="35" t="s">
        <v>39</v>
      </c>
      <c r="F63" s="64">
        <v>0</v>
      </c>
      <c r="G63" s="64"/>
      <c r="H63" s="64">
        <v>1043</v>
      </c>
      <c r="I63" s="64"/>
      <c r="J63" s="64">
        <v>2086</v>
      </c>
      <c r="K63" s="36" t="s">
        <v>328</v>
      </c>
      <c r="L63" s="35"/>
      <c r="M63" s="35"/>
      <c r="N63" s="36" t="s">
        <v>327</v>
      </c>
    </row>
    <row r="64" spans="1:14" s="39" customFormat="1" ht="136.80000000000001" x14ac:dyDescent="0.3">
      <c r="A64" s="44" t="s">
        <v>109</v>
      </c>
      <c r="B64" s="37" t="s">
        <v>195</v>
      </c>
      <c r="C64" s="37" t="s">
        <v>308</v>
      </c>
      <c r="D64" s="38" t="s">
        <v>111</v>
      </c>
      <c r="E64" s="38" t="s">
        <v>112</v>
      </c>
      <c r="F64" s="65">
        <v>0</v>
      </c>
      <c r="G64" s="65">
        <v>81</v>
      </c>
      <c r="H64" s="65">
        <v>82</v>
      </c>
      <c r="I64" s="65">
        <v>100</v>
      </c>
      <c r="J64" s="65">
        <v>100</v>
      </c>
      <c r="K64" s="38" t="s">
        <v>328</v>
      </c>
      <c r="L64" s="38"/>
      <c r="M64" s="37"/>
      <c r="N64" s="38"/>
    </row>
    <row r="65" spans="1:14" s="39" customFormat="1" ht="63" customHeight="1" x14ac:dyDescent="0.3">
      <c r="A65" s="70" t="s">
        <v>319</v>
      </c>
      <c r="B65" s="40" t="s">
        <v>273</v>
      </c>
      <c r="C65" s="40" t="s">
        <v>108</v>
      </c>
      <c r="D65" s="41" t="s">
        <v>38</v>
      </c>
      <c r="E65" s="40" t="s">
        <v>39</v>
      </c>
      <c r="F65" s="66">
        <v>0</v>
      </c>
      <c r="G65" s="66"/>
      <c r="H65" s="66">
        <v>0</v>
      </c>
      <c r="I65" s="66">
        <v>0</v>
      </c>
      <c r="J65" s="66">
        <f>SUM(G65:I65)</f>
        <v>0</v>
      </c>
      <c r="K65" s="41" t="s">
        <v>328</v>
      </c>
      <c r="L65" s="40"/>
      <c r="M65" s="40"/>
      <c r="N65" s="41" t="s">
        <v>333</v>
      </c>
    </row>
    <row r="66" spans="1:14" s="39" customFormat="1" ht="63" customHeight="1" x14ac:dyDescent="0.3">
      <c r="A66" s="71"/>
      <c r="B66" s="40" t="s">
        <v>315</v>
      </c>
      <c r="C66" s="40" t="s">
        <v>316</v>
      </c>
      <c r="D66" s="41" t="s">
        <v>318</v>
      </c>
      <c r="E66" s="41" t="s">
        <v>19</v>
      </c>
      <c r="F66" s="66">
        <v>0</v>
      </c>
      <c r="G66" s="66">
        <v>266</v>
      </c>
      <c r="H66" s="66">
        <v>0</v>
      </c>
      <c r="I66" s="66">
        <v>0</v>
      </c>
      <c r="J66" s="66">
        <v>266</v>
      </c>
      <c r="K66" s="41">
        <v>266</v>
      </c>
      <c r="L66" s="41"/>
      <c r="M66" s="40"/>
      <c r="N66" s="41" t="s">
        <v>332</v>
      </c>
    </row>
    <row r="67" spans="1:14" s="39" customFormat="1" ht="91.2" x14ac:dyDescent="0.3">
      <c r="A67" s="44" t="s">
        <v>320</v>
      </c>
      <c r="B67" s="37" t="s">
        <v>114</v>
      </c>
      <c r="C67" s="37" t="s">
        <v>115</v>
      </c>
      <c r="D67" s="37" t="s">
        <v>117</v>
      </c>
      <c r="E67" s="38" t="s">
        <v>30</v>
      </c>
      <c r="F67" s="65">
        <v>0</v>
      </c>
      <c r="G67" s="65">
        <v>100</v>
      </c>
      <c r="H67" s="65">
        <v>100</v>
      </c>
      <c r="I67" s="65">
        <v>100</v>
      </c>
      <c r="J67" s="65" t="s">
        <v>56</v>
      </c>
      <c r="K67" s="37"/>
      <c r="L67" s="38"/>
      <c r="M67" s="37"/>
      <c r="N67" s="38"/>
    </row>
    <row r="68" spans="1:14" s="39" customFormat="1" ht="216.6" x14ac:dyDescent="0.3">
      <c r="A68" s="40" t="s">
        <v>322</v>
      </c>
      <c r="B68" s="40" t="s">
        <v>42</v>
      </c>
      <c r="C68" s="40" t="s">
        <v>119</v>
      </c>
      <c r="D68" s="41" t="s">
        <v>43</v>
      </c>
      <c r="E68" s="41" t="s">
        <v>44</v>
      </c>
      <c r="F68" s="66">
        <v>0</v>
      </c>
      <c r="G68" s="66">
        <v>100</v>
      </c>
      <c r="H68" s="66">
        <v>100</v>
      </c>
      <c r="I68" s="66">
        <v>100</v>
      </c>
      <c r="J68" s="66">
        <v>100</v>
      </c>
      <c r="K68" s="41" t="s">
        <v>328</v>
      </c>
      <c r="L68" s="41"/>
      <c r="M68" s="40"/>
      <c r="N68" s="41" t="s">
        <v>327</v>
      </c>
    </row>
    <row r="69" spans="1:14" s="39" customFormat="1" ht="79.8" x14ac:dyDescent="0.3">
      <c r="A69" s="40"/>
      <c r="B69" s="45" t="s">
        <v>282</v>
      </c>
      <c r="C69" s="40" t="s">
        <v>284</v>
      </c>
      <c r="D69" s="41" t="s">
        <v>239</v>
      </c>
      <c r="E69" s="41" t="s">
        <v>240</v>
      </c>
      <c r="F69" s="66"/>
      <c r="G69" s="66"/>
      <c r="H69" s="66"/>
      <c r="I69" s="66"/>
      <c r="J69" s="66"/>
      <c r="K69" s="41" t="s">
        <v>328</v>
      </c>
      <c r="L69" s="41"/>
      <c r="M69" s="40"/>
      <c r="N69" s="41" t="s">
        <v>334</v>
      </c>
    </row>
    <row r="70" spans="1:14" s="39" customFormat="1" ht="79.8" x14ac:dyDescent="0.3">
      <c r="A70" s="40"/>
      <c r="B70" s="40" t="s">
        <v>45</v>
      </c>
      <c r="C70" s="40" t="s">
        <v>122</v>
      </c>
      <c r="D70" s="41" t="s">
        <v>18</v>
      </c>
      <c r="E70" s="41" t="s">
        <v>19</v>
      </c>
      <c r="F70" s="66">
        <v>0</v>
      </c>
      <c r="G70" s="66">
        <v>12</v>
      </c>
      <c r="H70" s="66">
        <v>12</v>
      </c>
      <c r="I70" s="66">
        <v>12</v>
      </c>
      <c r="J70" s="66" t="s">
        <v>56</v>
      </c>
      <c r="K70" s="41" t="s">
        <v>328</v>
      </c>
      <c r="L70" s="41"/>
      <c r="M70" s="40"/>
      <c r="N70" s="41" t="s">
        <v>335</v>
      </c>
    </row>
    <row r="71" spans="1:14" s="39" customFormat="1" ht="93" customHeight="1" x14ac:dyDescent="0.3">
      <c r="A71" s="35" t="s">
        <v>321</v>
      </c>
      <c r="B71" s="35" t="s">
        <v>187</v>
      </c>
      <c r="C71" s="35" t="s">
        <v>187</v>
      </c>
      <c r="D71" s="36" t="s">
        <v>239</v>
      </c>
      <c r="E71" s="36" t="s">
        <v>240</v>
      </c>
      <c r="F71" s="64"/>
      <c r="G71" s="64">
        <v>2</v>
      </c>
      <c r="H71" s="64">
        <v>2</v>
      </c>
      <c r="I71" s="64">
        <v>2</v>
      </c>
      <c r="J71" s="64" t="s">
        <v>56</v>
      </c>
      <c r="K71" s="36">
        <v>0</v>
      </c>
      <c r="L71" s="36"/>
      <c r="M71" s="35"/>
      <c r="N71" s="36"/>
    </row>
    <row r="72" spans="1:14" s="46" customFormat="1" ht="22.8" x14ac:dyDescent="0.2">
      <c r="A72" s="70" t="s">
        <v>323</v>
      </c>
      <c r="B72" s="40" t="s">
        <v>277</v>
      </c>
      <c r="C72" s="40" t="s">
        <v>278</v>
      </c>
      <c r="D72" s="41" t="s">
        <v>43</v>
      </c>
      <c r="E72" s="41" t="s">
        <v>44</v>
      </c>
      <c r="F72" s="66">
        <v>0</v>
      </c>
      <c r="G72" s="66"/>
      <c r="H72" s="66"/>
      <c r="I72" s="66"/>
      <c r="J72" s="66"/>
      <c r="K72" s="41">
        <v>0</v>
      </c>
      <c r="L72" s="41"/>
      <c r="M72" s="40"/>
      <c r="N72" s="41" t="s">
        <v>337</v>
      </c>
    </row>
    <row r="73" spans="1:14" s="46" customFormat="1" ht="57" x14ac:dyDescent="0.2">
      <c r="A73" s="71"/>
      <c r="B73" s="40" t="s">
        <v>285</v>
      </c>
      <c r="C73" s="40" t="s">
        <v>280</v>
      </c>
      <c r="D73" s="41" t="s">
        <v>43</v>
      </c>
      <c r="E73" s="41" t="s">
        <v>44</v>
      </c>
      <c r="F73" s="66"/>
      <c r="G73" s="66"/>
      <c r="H73" s="66"/>
      <c r="I73" s="66"/>
      <c r="J73" s="66"/>
      <c r="K73" s="41">
        <v>0</v>
      </c>
      <c r="L73" s="41"/>
      <c r="M73" s="40"/>
      <c r="N73" s="41" t="s">
        <v>336</v>
      </c>
    </row>
    <row r="74" spans="1:14" s="46" customFormat="1" ht="34.200000000000003" x14ac:dyDescent="0.2">
      <c r="A74" s="40" t="s">
        <v>324</v>
      </c>
      <c r="B74" s="40" t="s">
        <v>286</v>
      </c>
      <c r="C74" s="40" t="s">
        <v>288</v>
      </c>
      <c r="D74" s="41" t="s">
        <v>239</v>
      </c>
      <c r="E74" s="41" t="s">
        <v>240</v>
      </c>
      <c r="F74" s="66"/>
      <c r="G74" s="66"/>
      <c r="H74" s="66"/>
      <c r="I74" s="66"/>
      <c r="J74" s="66"/>
      <c r="K74" s="41">
        <v>0</v>
      </c>
      <c r="L74" s="41"/>
      <c r="M74" s="40"/>
      <c r="N74" s="41"/>
    </row>
    <row r="75" spans="1:14" s="46" customFormat="1" ht="57" x14ac:dyDescent="0.2">
      <c r="A75" s="40"/>
      <c r="B75" s="40" t="s">
        <v>289</v>
      </c>
      <c r="C75" s="40" t="s">
        <v>290</v>
      </c>
      <c r="D75" s="41" t="s">
        <v>239</v>
      </c>
      <c r="E75" s="41" t="s">
        <v>240</v>
      </c>
      <c r="F75" s="66"/>
      <c r="G75" s="66"/>
      <c r="H75" s="66"/>
      <c r="I75" s="66"/>
      <c r="J75" s="66"/>
      <c r="K75" s="41">
        <v>0</v>
      </c>
      <c r="L75" s="41"/>
      <c r="M75" s="40"/>
      <c r="N75" s="41"/>
    </row>
    <row r="76" spans="1:14" s="46" customFormat="1" ht="45.6" x14ac:dyDescent="0.2">
      <c r="A76" s="40"/>
      <c r="B76" s="40" t="s">
        <v>293</v>
      </c>
      <c r="C76" s="40" t="s">
        <v>292</v>
      </c>
      <c r="D76" s="41" t="s">
        <v>239</v>
      </c>
      <c r="E76" s="41" t="s">
        <v>205</v>
      </c>
      <c r="F76" s="66"/>
      <c r="G76" s="66"/>
      <c r="H76" s="66"/>
      <c r="I76" s="66"/>
      <c r="J76" s="66"/>
      <c r="K76" s="41">
        <v>0</v>
      </c>
      <c r="L76" s="41"/>
      <c r="M76" s="40"/>
      <c r="N76" s="41"/>
    </row>
    <row r="77" spans="1:14" s="46" customFormat="1" ht="57" x14ac:dyDescent="0.2">
      <c r="A77" s="72" t="s">
        <v>326</v>
      </c>
      <c r="B77" s="37" t="s">
        <v>295</v>
      </c>
      <c r="C77" s="37" t="s">
        <v>297</v>
      </c>
      <c r="D77" s="38" t="s">
        <v>239</v>
      </c>
      <c r="E77" s="37" t="s">
        <v>205</v>
      </c>
      <c r="F77" s="65"/>
      <c r="G77" s="65"/>
      <c r="H77" s="65"/>
      <c r="I77" s="65"/>
      <c r="J77" s="65"/>
      <c r="K77" s="38">
        <v>0</v>
      </c>
      <c r="L77" s="37"/>
      <c r="M77" s="37"/>
      <c r="N77" s="37"/>
    </row>
    <row r="78" spans="1:14" ht="34.200000000000003" x14ac:dyDescent="0.2">
      <c r="A78" s="73"/>
      <c r="B78" s="37" t="s">
        <v>296</v>
      </c>
      <c r="C78" s="48" t="s">
        <v>300</v>
      </c>
      <c r="D78" s="47" t="s">
        <v>239</v>
      </c>
      <c r="E78" s="47" t="s">
        <v>205</v>
      </c>
      <c r="F78" s="67"/>
      <c r="G78" s="67"/>
      <c r="H78" s="67"/>
      <c r="I78" s="67"/>
      <c r="J78" s="67"/>
      <c r="K78" s="47">
        <v>0</v>
      </c>
      <c r="L78" s="47"/>
      <c r="M78" s="47"/>
      <c r="N78" s="47"/>
    </row>
  </sheetData>
  <mergeCells count="13">
    <mergeCell ref="A18:A31"/>
    <mergeCell ref="A1:N5"/>
    <mergeCell ref="A6:C6"/>
    <mergeCell ref="F6:N6"/>
    <mergeCell ref="A9:A14"/>
    <mergeCell ref="A15:A17"/>
    <mergeCell ref="A77:A78"/>
    <mergeCell ref="A38:A40"/>
    <mergeCell ref="A41:A47"/>
    <mergeCell ref="A48:A51"/>
    <mergeCell ref="A53:A55"/>
    <mergeCell ref="A65:A66"/>
    <mergeCell ref="A72:A73"/>
  </mergeCells>
  <pageMargins left="0.25" right="0.25" top="0.75" bottom="0.75" header="0.3" footer="0.3"/>
  <pageSetup paperSize="5" scale="37" fitToHeight="0" pageOrder="overThenDown"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EAD2F457676E4BBCCD64C2D0A4569C" ma:contentTypeVersion="15" ma:contentTypeDescription="Create a new document." ma:contentTypeScope="" ma:versionID="1751464d89bc2dca12ef7918977a2716">
  <xsd:schema xmlns:xsd="http://www.w3.org/2001/XMLSchema" xmlns:xs="http://www.w3.org/2001/XMLSchema" xmlns:p="http://schemas.microsoft.com/office/2006/metadata/properties" xmlns:ns2="ecbdcc73-430d-4087-a511-b33172652c3f" xmlns:ns3="98e3f392-909b-4105-bcf6-e156af0297fb" targetNamespace="http://schemas.microsoft.com/office/2006/metadata/properties" ma:root="true" ma:fieldsID="03353e87622b2b469003907b3a878f4b" ns2:_="" ns3:_="">
    <xsd:import namespace="ecbdcc73-430d-4087-a511-b33172652c3f"/>
    <xsd:import namespace="98e3f392-909b-4105-bcf6-e156af0297f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dcc73-430d-4087-a511-b33172652c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a3dff2-d67e-4dd5-8f2c-5f78cca4fd2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8e3f392-909b-4105-bcf6-e156af0297f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189a436-a95b-4659-9c05-a90eef295d9f}" ma:internalName="TaxCatchAll" ma:showField="CatchAllData" ma:web="98e3f392-909b-4105-bcf6-e156af0297f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WorkbookDrillPathInfo xmlns:xsi="http://www.w3.org/2001/XMLSchema-instance" xmlns:xsd="http://www.w3.org/2001/XMLSchema" xmlns="http://www.infor.com/qaa/DrillPath">
  <CurrentDrillPath>
    <DrillPathNode AnalysisType="NONE" Id="0bb19f26-712c-44fb-bb4a-73af42cd6985" Name="Results Framework" HandleSummaryReportOnly="false">
      <SuppressZero>false</SuppressZero>
      <Children/>
    </DrillPathNode>
    <DrillPathNode AnalysisType="NONE" Id="6c9d0c44-3e39-4fa5-8d20-3ffb1a3dda10" Name="M&amp;E plan template" HandleSummaryReportOnly="false">
      <SuppressZero>false</SuppressZero>
      <Children/>
    </DrillPathNode>
    <DrillPathNode AnalysisType="NONE" Id="2b588be8-e8e6-4670-a460-6d0816cc6775" Name="M&amp;E plan information" HandleSummaryReportOnly="false">
      <SuppressZero>false</SuppressZero>
      <Children/>
    </DrillPathNode>
    <DrillPathNode AnalysisType="NONE" Id="f854391a-6eea-4e46-b73d-75bb9ad4d838" Name="Sheet1" HandleSummaryReportOnly="false" Source="">
      <SuppressZero>false</SuppressZero>
      <Children/>
    </DrillPathNode>
  </CurrentDrillPath>
  <SavedDrillPath/>
</WorkbookDrillPathInfo>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cbdcc73-430d-4087-a511-b33172652c3f">
      <Terms xmlns="http://schemas.microsoft.com/office/infopath/2007/PartnerControls"/>
    </lcf76f155ced4ddcb4097134ff3c332f>
    <TaxCatchAll xmlns="98e3f392-909b-4105-bcf6-e156af0297fb" xsi:nil="true"/>
    <SharedWithUsers xmlns="98e3f392-909b-4105-bcf6-e156af0297fb">
      <UserInfo>
        <DisplayName>Nyreese Castro-Espadas</DisplayName>
        <AccountId>11</AccountId>
        <AccountType/>
      </UserInfo>
      <UserInfo>
        <DisplayName>Rachel Ramey</DisplayName>
        <AccountId>76</AccountId>
        <AccountType/>
      </UserInfo>
    </SharedWithUser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5A934F-4998-4AA0-9578-95410FC73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bdcc73-430d-4087-a511-b33172652c3f"/>
    <ds:schemaRef ds:uri="98e3f392-909b-4105-bcf6-e156af0297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A242F0-5BD9-48C2-9E9F-89E2B4CEF757}">
  <ds:schemaRefs>
    <ds:schemaRef ds:uri="http://www.w3.org/2001/XMLSchema"/>
    <ds:schemaRef ds:uri="http://www.infor.com/qaa/DrillPath"/>
  </ds:schemaRefs>
</ds:datastoreItem>
</file>

<file path=customXml/itemProps3.xml><?xml version="1.0" encoding="utf-8"?>
<ds:datastoreItem xmlns:ds="http://schemas.openxmlformats.org/officeDocument/2006/customXml" ds:itemID="{AC99B5DB-D164-45F5-8F38-87E03A6ABF32}">
  <ds:schemaRefs>
    <ds:schemaRef ds:uri="http://schemas.microsoft.com/office/2006/documentManagement/types"/>
    <ds:schemaRef ds:uri="http://www.w3.org/XML/1998/namespace"/>
    <ds:schemaRef ds:uri="http://purl.org/dc/dcmitype/"/>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98e3f392-909b-4105-bcf6-e156af0297fb"/>
    <ds:schemaRef ds:uri="ecbdcc73-430d-4087-a511-b33172652c3f"/>
  </ds:schemaRefs>
</ds:datastoreItem>
</file>

<file path=customXml/itemProps4.xml><?xml version="1.0" encoding="utf-8"?>
<ds:datastoreItem xmlns:ds="http://schemas.openxmlformats.org/officeDocument/2006/customXml" ds:itemID="{69794A6C-4EBE-43E0-9606-682EBF821A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M&amp;E plan information</vt:lpstr>
      <vt:lpstr>M&amp;E plan_All Sites</vt:lpstr>
      <vt:lpstr>Results framework_New</vt:lpstr>
      <vt:lpstr>'M&amp;E plan_All Sites'!Print_Area</vt:lpstr>
      <vt:lpstr>'Results framework_New'!Print_Area</vt:lpstr>
      <vt:lpstr>'M&amp;E plan_All Sites'!Print_Titles</vt:lpstr>
      <vt:lpstr>'Results framework_New'!Print_Titles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Hermes</dc:creator>
  <cp:keywords/>
  <dc:description/>
  <cp:lastModifiedBy>William Sheahan</cp:lastModifiedBy>
  <cp:revision/>
  <dcterms:created xsi:type="dcterms:W3CDTF">2019-07-26T13:54:43Z</dcterms:created>
  <dcterms:modified xsi:type="dcterms:W3CDTF">2025-10-01T18:44:48Z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0x01010067EAD2F457676E4BBCCD64C2D0A4569C</vt:lpwstr>
  </property>
  <property fmtid="{D5CDD505-2E9C-101B-9397-08002B2CF9AE}" pid="3" name="MediaServiceImageTags">
    <vt:lpwstr/>
  </property>
</Properties>
</file>